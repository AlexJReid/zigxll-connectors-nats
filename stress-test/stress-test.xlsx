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" sheetId="1" state="visible" r:id="rId1"/>
    <sheet name="Info" sheetId="2" state="visible" r:id="rId2"/>
    <sheet name="By Categ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Sub 1</t>
        </is>
      </c>
      <c r="B1" s="1" t="inlineStr">
        <is>
          <t>Sub 2</t>
        </is>
      </c>
      <c r="C1" s="1" t="inlineStr">
        <is>
          <t>Sub 3</t>
        </is>
      </c>
      <c r="D1" s="1" t="inlineStr">
        <is>
          <t>Sub 4</t>
        </is>
      </c>
      <c r="E1" s="1" t="inlineStr">
        <is>
          <t>Sub 5</t>
        </is>
      </c>
      <c r="F1" s="1" t="inlineStr">
        <is>
          <t>Sub 6</t>
        </is>
      </c>
      <c r="G1" s="1" t="inlineStr">
        <is>
          <t>Sub 7</t>
        </is>
      </c>
      <c r="H1" s="1" t="inlineStr">
        <is>
          <t>Sub 8</t>
        </is>
      </c>
      <c r="I1" s="1" t="inlineStr">
        <is>
          <t>Sub 9</t>
        </is>
      </c>
      <c r="J1" s="1" t="inlineStr">
        <is>
          <t>Sub 10</t>
        </is>
      </c>
    </row>
    <row r="2">
      <c r="A2">
        <f>NATS.SUB("stress.ticks.0")</f>
        <v/>
      </c>
      <c r="B2">
        <f>NATS.SUB("stress.metrics.6")</f>
        <v/>
      </c>
      <c r="C2">
        <f>NATS.SUB("stress.orders.14")</f>
        <v/>
      </c>
      <c r="D2">
        <f>NATS.SUB("stress.events.0")</f>
        <v/>
      </c>
      <c r="E2">
        <f>NATS.SUB("stress.orders.16")</f>
        <v/>
      </c>
      <c r="F2">
        <f>NATS.SUB("stress.orders.4")</f>
        <v/>
      </c>
      <c r="G2">
        <f>NATS.SUB("stress.events.6")</f>
        <v/>
      </c>
      <c r="H2">
        <f>NATS.SUB("stress.metrics.6")</f>
        <v/>
      </c>
      <c r="I2">
        <f>NATS.SUB("stress.sensors.3")</f>
        <v/>
      </c>
      <c r="J2">
        <f>NATS.SUB("stress.status.17")</f>
        <v/>
      </c>
    </row>
    <row r="3">
      <c r="A3">
        <f>NATS.SUB("stress.status.11")</f>
        <v/>
      </c>
      <c r="B3">
        <f>NATS.SUB("stress.logs.11")</f>
        <v/>
      </c>
      <c r="C3">
        <f>NATS.SUB("stress.events.5")</f>
        <v/>
      </c>
      <c r="D3">
        <f>NATS.SUB("stress.prices.16")</f>
        <v/>
      </c>
      <c r="E3">
        <f>NATS.SUB("stress.ticks.5")</f>
        <v/>
      </c>
      <c r="F3">
        <f>NATS.SUB("stress.alerts.6")</f>
        <v/>
      </c>
      <c r="G3">
        <f>NATS.SUB("stress.logs.16")</f>
        <v/>
      </c>
      <c r="H3">
        <f>NATS.SUB("stress.sensors.11")</f>
        <v/>
      </c>
      <c r="I3">
        <f>NATS.SUB("stress.sensors.6")</f>
        <v/>
      </c>
      <c r="J3">
        <f>NATS.SUB("stress.metrics.9")</f>
        <v/>
      </c>
    </row>
    <row r="4">
      <c r="A4">
        <f>NATS.SUB("stress.metrics.11")</f>
        <v/>
      </c>
      <c r="B4">
        <f>NATS.SUB("stress.sensors.1")</f>
        <v/>
      </c>
      <c r="C4">
        <f>NATS.SUB("stress.prices.14")</f>
        <v/>
      </c>
      <c r="D4">
        <f>NATS.SUB("stress.status.7")</f>
        <v/>
      </c>
      <c r="E4">
        <f>NATS.SUB("stress.ticks.11")</f>
        <v/>
      </c>
      <c r="F4">
        <f>NATS.SUB("stress.orders.5")</f>
        <v/>
      </c>
      <c r="G4">
        <f>NATS.SUB("stress.telemetry.4")</f>
        <v/>
      </c>
      <c r="H4">
        <f>NATS.SUB("stress.alerts.3")</f>
        <v/>
      </c>
      <c r="I4">
        <f>NATS.SUB("stress.status.5")</f>
        <v/>
      </c>
      <c r="J4">
        <f>NATS.SUB("stress.logs.2")</f>
        <v/>
      </c>
    </row>
    <row r="5">
      <c r="A5">
        <f>NATS.SUB("stress.sensors.3")</f>
        <v/>
      </c>
      <c r="B5">
        <f>NATS.SUB("stress.events.0")</f>
        <v/>
      </c>
      <c r="C5">
        <f>NATS.SUB("stress.prices.14")</f>
        <v/>
      </c>
      <c r="D5">
        <f>NATS.SUB("stress.metrics.19")</f>
        <v/>
      </c>
      <c r="E5">
        <f>NATS.SUB("stress.events.3")</f>
        <v/>
      </c>
      <c r="F5">
        <f>NATS.SUB("stress.orders.19")</f>
        <v/>
      </c>
      <c r="G5">
        <f>NATS.SUB("stress.ticks.18")</f>
        <v/>
      </c>
      <c r="H5">
        <f>NATS.SUB("stress.status.17")</f>
        <v/>
      </c>
      <c r="I5">
        <f>NATS.SUB("stress.prices.14")</f>
        <v/>
      </c>
      <c r="J5">
        <f>NATS.SUB("stress.events.11")</f>
        <v/>
      </c>
    </row>
    <row r="6">
      <c r="A6">
        <f>NATS.SUB("stress.metrics.19")</f>
        <v/>
      </c>
      <c r="B6">
        <f>NATS.SUB("stress.ticks.17")</f>
        <v/>
      </c>
      <c r="C6">
        <f>NATS.SUB("stress.orders.9")</f>
        <v/>
      </c>
      <c r="D6">
        <f>NATS.SUB("stress.alerts.19")</f>
        <v/>
      </c>
      <c r="E6">
        <f>NATS.SUB("stress.telemetry.10")</f>
        <v/>
      </c>
      <c r="F6">
        <f>NATS.SUB("stress.orders.1")</f>
        <v/>
      </c>
      <c r="G6">
        <f>NATS.SUB("stress.ticks.18")</f>
        <v/>
      </c>
      <c r="H6">
        <f>NATS.SUB("stress.telemetry.8")</f>
        <v/>
      </c>
      <c r="I6">
        <f>NATS.SUB("stress.alerts.5")</f>
        <v/>
      </c>
      <c r="J6">
        <f>NATS.SUB("stress.sensors.16")</f>
        <v/>
      </c>
    </row>
    <row r="7">
      <c r="A7">
        <f>NATS.SUB("stress.orders.17")</f>
        <v/>
      </c>
      <c r="B7">
        <f>NATS.SUB("stress.events.18")</f>
        <v/>
      </c>
      <c r="C7">
        <f>NATS.SUB("stress.logs.3")</f>
        <v/>
      </c>
      <c r="D7">
        <f>NATS.SUB("stress.telemetry.4")</f>
        <v/>
      </c>
      <c r="E7">
        <f>NATS.SUB("stress.sensors.0")</f>
        <v/>
      </c>
      <c r="F7">
        <f>NATS.SUB("stress.telemetry.10")</f>
        <v/>
      </c>
      <c r="G7">
        <f>NATS.SUB("stress.prices.1")</f>
        <v/>
      </c>
      <c r="H7">
        <f>NATS.SUB("stress.events.13")</f>
        <v/>
      </c>
      <c r="I7">
        <f>NATS.SUB("stress.status.3")</f>
        <v/>
      </c>
      <c r="J7">
        <f>NATS.SUB("stress.prices.8")</f>
        <v/>
      </c>
    </row>
    <row r="8">
      <c r="A8">
        <f>NATS.SUB("stress.status.16")</f>
        <v/>
      </c>
      <c r="B8">
        <f>NATS.SUB("stress.metrics.9")</f>
        <v/>
      </c>
      <c r="C8">
        <f>NATS.SUB("stress.metrics.2")</f>
        <v/>
      </c>
      <c r="D8">
        <f>NATS.SUB("stress.logs.14")</f>
        <v/>
      </c>
      <c r="E8">
        <f>NATS.SUB("stress.logs.9")</f>
        <v/>
      </c>
      <c r="F8">
        <f>NATS.SUB("stress.status.13")</f>
        <v/>
      </c>
      <c r="G8">
        <f>NATS.SUB("stress.metrics.6")</f>
        <v/>
      </c>
      <c r="H8">
        <f>NATS.SUB("stress.ticks.1")</f>
        <v/>
      </c>
      <c r="I8">
        <f>NATS.SUB("stress.events.19")</f>
        <v/>
      </c>
      <c r="J8">
        <f>NATS.SUB("stress.alerts.3")</f>
        <v/>
      </c>
    </row>
    <row r="9">
      <c r="A9">
        <f>NATS.SUB("stress.status.0")</f>
        <v/>
      </c>
      <c r="B9">
        <f>NATS.SUB("stress.alerts.13")</f>
        <v/>
      </c>
      <c r="C9">
        <f>NATS.SUB("stress.alerts.13")</f>
        <v/>
      </c>
      <c r="D9">
        <f>NATS.SUB("stress.telemetry.4")</f>
        <v/>
      </c>
      <c r="E9">
        <f>NATS.SUB("stress.events.9")</f>
        <v/>
      </c>
      <c r="F9">
        <f>NATS.SUB("stress.alerts.0")</f>
        <v/>
      </c>
      <c r="G9">
        <f>NATS.SUB("stress.metrics.12")</f>
        <v/>
      </c>
      <c r="H9">
        <f>NATS.SUB("stress.metrics.11")</f>
        <v/>
      </c>
      <c r="I9">
        <f>NATS.SUB("stress.events.0")</f>
        <v/>
      </c>
      <c r="J9">
        <f>NATS.SUB("stress.alerts.15")</f>
        <v/>
      </c>
    </row>
    <row r="10">
      <c r="A10">
        <f>NATS.SUB("stress.status.17")</f>
        <v/>
      </c>
      <c r="B10">
        <f>NATS.SUB("stress.prices.9")</f>
        <v/>
      </c>
      <c r="C10">
        <f>NATS.SUB("stress.telemetry.2")</f>
        <v/>
      </c>
      <c r="D10">
        <f>NATS.SUB("stress.metrics.7")</f>
        <v/>
      </c>
      <c r="E10">
        <f>NATS.SUB("stress.metrics.2")</f>
        <v/>
      </c>
      <c r="F10">
        <f>NATS.SUB("stress.ticks.3")</f>
        <v/>
      </c>
      <c r="G10">
        <f>NATS.SUB("stress.sensors.7")</f>
        <v/>
      </c>
      <c r="H10">
        <f>NATS.SUB("stress.prices.12")</f>
        <v/>
      </c>
      <c r="I10">
        <f>NATS.SUB("stress.sensors.16")</f>
        <v/>
      </c>
      <c r="J10">
        <f>NATS.SUB("stress.logs.16")</f>
        <v/>
      </c>
    </row>
    <row r="11">
      <c r="A11">
        <f>NATS.SUB("stress.sensors.9")</f>
        <v/>
      </c>
      <c r="B11">
        <f>NATS.SUB("stress.logs.6")</f>
        <v/>
      </c>
      <c r="C11">
        <f>NATS.SUB("stress.alerts.10")</f>
        <v/>
      </c>
      <c r="D11">
        <f>NATS.SUB("stress.orders.7")</f>
        <v/>
      </c>
      <c r="E11">
        <f>NATS.SUB("stress.events.6")</f>
        <v/>
      </c>
      <c r="F11">
        <f>NATS.SUB("stress.ticks.14")</f>
        <v/>
      </c>
      <c r="G11">
        <f>NATS.SUB("stress.status.4")</f>
        <v/>
      </c>
      <c r="H11">
        <f>NATS.SUB("stress.status.18")</f>
        <v/>
      </c>
      <c r="I11">
        <f>NATS.SUB("stress.metrics.14")</f>
        <v/>
      </c>
      <c r="J11">
        <f>NATS.SUB("stress.status.1")</f>
        <v/>
      </c>
    </row>
    <row r="12">
      <c r="A12">
        <f>NATS.SUB("stress.status.16")</f>
        <v/>
      </c>
      <c r="B12">
        <f>NATS.SUB("stress.orders.7")</f>
        <v/>
      </c>
      <c r="C12">
        <f>NATS.SUB("stress.alerts.7")</f>
        <v/>
      </c>
      <c r="D12">
        <f>NATS.SUB("stress.logs.3")</f>
        <v/>
      </c>
      <c r="E12">
        <f>NATS.SUB("stress.metrics.12")</f>
        <v/>
      </c>
      <c r="F12">
        <f>NATS.SUB("stress.telemetry.14")</f>
        <v/>
      </c>
      <c r="G12">
        <f>NATS.SUB("stress.status.4")</f>
        <v/>
      </c>
      <c r="H12">
        <f>NATS.SUB("stress.sensors.16")</f>
        <v/>
      </c>
      <c r="I12">
        <f>NATS.SUB("stress.events.7")</f>
        <v/>
      </c>
      <c r="J12">
        <f>NATS.SUB("stress.alerts.5")</f>
        <v/>
      </c>
    </row>
    <row r="13">
      <c r="A13">
        <f>NATS.SUB("stress.events.11")</f>
        <v/>
      </c>
      <c r="B13">
        <f>NATS.SUB("stress.prices.5")</f>
        <v/>
      </c>
      <c r="C13">
        <f>NATS.SUB("stress.logs.1")</f>
        <v/>
      </c>
      <c r="D13">
        <f>NATS.SUB("stress.prices.19")</f>
        <v/>
      </c>
      <c r="E13">
        <f>NATS.SUB("stress.metrics.8")</f>
        <v/>
      </c>
      <c r="F13">
        <f>NATS.SUB("stress.prices.4")</f>
        <v/>
      </c>
      <c r="G13">
        <f>NATS.SUB("stress.events.10")</f>
        <v/>
      </c>
      <c r="H13">
        <f>NATS.SUB("stress.metrics.9")</f>
        <v/>
      </c>
      <c r="I13">
        <f>NATS.SUB("stress.status.5")</f>
        <v/>
      </c>
      <c r="J13">
        <f>NATS.SUB("stress.telemetry.17")</f>
        <v/>
      </c>
    </row>
    <row r="14">
      <c r="A14">
        <f>NATS.SUB("stress.orders.11")</f>
        <v/>
      </c>
      <c r="B14">
        <f>NATS.SUB("stress.status.6")</f>
        <v/>
      </c>
      <c r="C14">
        <f>NATS.SUB("stress.telemetry.8")</f>
        <v/>
      </c>
      <c r="D14">
        <f>NATS.SUB("stress.logs.19")</f>
        <v/>
      </c>
      <c r="E14">
        <f>NATS.SUB("stress.orders.9")</f>
        <v/>
      </c>
      <c r="F14">
        <f>NATS.SUB("stress.sensors.10")</f>
        <v/>
      </c>
      <c r="G14">
        <f>NATS.SUB("stress.sensors.12")</f>
        <v/>
      </c>
      <c r="H14">
        <f>NATS.SUB("stress.telemetry.12")</f>
        <v/>
      </c>
      <c r="I14">
        <f>NATS.SUB("stress.orders.15")</f>
        <v/>
      </c>
      <c r="J14">
        <f>NATS.SUB("stress.events.4")</f>
        <v/>
      </c>
    </row>
    <row r="15">
      <c r="A15">
        <f>NATS.SUB("stress.alerts.11")</f>
        <v/>
      </c>
      <c r="B15">
        <f>NATS.SUB("stress.sensors.5")</f>
        <v/>
      </c>
      <c r="C15">
        <f>NATS.SUB("stress.orders.3")</f>
        <v/>
      </c>
      <c r="D15">
        <f>NATS.SUB("stress.orders.5")</f>
        <v/>
      </c>
      <c r="E15">
        <f>NATS.SUB("stress.metrics.4")</f>
        <v/>
      </c>
      <c r="F15">
        <f>NATS.SUB("stress.prices.13")</f>
        <v/>
      </c>
      <c r="G15">
        <f>NATS.SUB("stress.orders.5")</f>
        <v/>
      </c>
      <c r="H15">
        <f>NATS.SUB("stress.ticks.10")</f>
        <v/>
      </c>
      <c r="I15">
        <f>NATS.SUB("stress.sensors.13")</f>
        <v/>
      </c>
      <c r="J15">
        <f>NATS.SUB("stress.telemetry.7")</f>
        <v/>
      </c>
    </row>
    <row r="16">
      <c r="A16">
        <f>NATS.SUB("stress.logs.1")</f>
        <v/>
      </c>
      <c r="B16">
        <f>NATS.SUB("stress.events.0")</f>
        <v/>
      </c>
      <c r="C16">
        <f>NATS.SUB("stress.ticks.16")</f>
        <v/>
      </c>
      <c r="D16">
        <f>NATS.SUB("stress.logs.19")</f>
        <v/>
      </c>
      <c r="E16">
        <f>NATS.SUB("stress.telemetry.12")</f>
        <v/>
      </c>
      <c r="F16">
        <f>NATS.SUB("stress.status.5")</f>
        <v/>
      </c>
      <c r="G16">
        <f>NATS.SUB("stress.metrics.12")</f>
        <v/>
      </c>
      <c r="H16">
        <f>NATS.SUB("stress.sensors.12")</f>
        <v/>
      </c>
      <c r="I16">
        <f>NATS.SUB("stress.ticks.6")</f>
        <v/>
      </c>
      <c r="J16">
        <f>NATS.SUB("stress.metrics.19")</f>
        <v/>
      </c>
    </row>
    <row r="17">
      <c r="A17">
        <f>NATS.SUB("stress.logs.15")</f>
        <v/>
      </c>
      <c r="B17">
        <f>NATS.SUB("stress.orders.1")</f>
        <v/>
      </c>
      <c r="C17">
        <f>NATS.SUB("stress.orders.13")</f>
        <v/>
      </c>
      <c r="D17">
        <f>NATS.SUB("stress.telemetry.11")</f>
        <v/>
      </c>
      <c r="E17">
        <f>NATS.SUB("stress.prices.13")</f>
        <v/>
      </c>
      <c r="F17">
        <f>NATS.SUB("stress.events.9")</f>
        <v/>
      </c>
      <c r="G17">
        <f>NATS.SUB("stress.sensors.8")</f>
        <v/>
      </c>
      <c r="H17">
        <f>NATS.SUB("stress.logs.14")</f>
        <v/>
      </c>
      <c r="I17">
        <f>NATS.SUB("stress.logs.1")</f>
        <v/>
      </c>
      <c r="J17">
        <f>NATS.SUB("stress.prices.0")</f>
        <v/>
      </c>
    </row>
    <row r="18">
      <c r="A18">
        <f>NATS.SUB("stress.alerts.14")</f>
        <v/>
      </c>
      <c r="B18">
        <f>NATS.SUB("stress.ticks.1")</f>
        <v/>
      </c>
      <c r="C18">
        <f>NATS.SUB("stress.orders.2")</f>
        <v/>
      </c>
      <c r="D18">
        <f>NATS.SUB("stress.alerts.10")</f>
        <v/>
      </c>
      <c r="E18">
        <f>NATS.SUB("stress.ticks.3")</f>
        <v/>
      </c>
      <c r="F18">
        <f>NATS.SUB("stress.alerts.6")</f>
        <v/>
      </c>
      <c r="G18">
        <f>NATS.SUB("stress.logs.16")</f>
        <v/>
      </c>
      <c r="H18">
        <f>NATS.SUB("stress.orders.16")</f>
        <v/>
      </c>
      <c r="I18">
        <f>NATS.SUB("stress.telemetry.17")</f>
        <v/>
      </c>
      <c r="J18">
        <f>NATS.SUB("stress.alerts.5")</f>
        <v/>
      </c>
    </row>
    <row r="19">
      <c r="A19">
        <f>NATS.SUB("stress.sensors.6")</f>
        <v/>
      </c>
      <c r="B19">
        <f>NATS.SUB("stress.status.14")</f>
        <v/>
      </c>
      <c r="C19">
        <f>NATS.SUB("stress.telemetry.19")</f>
        <v/>
      </c>
      <c r="D19">
        <f>NATS.SUB("stress.sensors.8")</f>
        <v/>
      </c>
      <c r="E19">
        <f>NATS.SUB("stress.alerts.16")</f>
        <v/>
      </c>
      <c r="F19">
        <f>NATS.SUB("stress.alerts.2")</f>
        <v/>
      </c>
      <c r="G19">
        <f>NATS.SUB("stress.metrics.13")</f>
        <v/>
      </c>
      <c r="H19">
        <f>NATS.SUB("stress.sensors.3")</f>
        <v/>
      </c>
      <c r="I19">
        <f>NATS.SUB("stress.ticks.9")</f>
        <v/>
      </c>
      <c r="J19">
        <f>NATS.SUB("stress.events.4")</f>
        <v/>
      </c>
    </row>
    <row r="20">
      <c r="A20">
        <f>NATS.SUB("stress.orders.10")</f>
        <v/>
      </c>
      <c r="B20">
        <f>NATS.SUB("stress.ticks.12")</f>
        <v/>
      </c>
      <c r="C20">
        <f>NATS.SUB("stress.prices.14")</f>
        <v/>
      </c>
      <c r="D20">
        <f>NATS.SUB("stress.alerts.6")</f>
        <v/>
      </c>
      <c r="E20">
        <f>NATS.SUB("stress.orders.3")</f>
        <v/>
      </c>
      <c r="F20">
        <f>NATS.SUB("stress.orders.5")</f>
        <v/>
      </c>
      <c r="G20">
        <f>NATS.SUB("stress.prices.14")</f>
        <v/>
      </c>
      <c r="H20">
        <f>NATS.SUB("stress.alerts.0")</f>
        <v/>
      </c>
      <c r="I20">
        <f>NATS.SUB("stress.logs.12")</f>
        <v/>
      </c>
      <c r="J20">
        <f>NATS.SUB("stress.logs.0")</f>
        <v/>
      </c>
    </row>
    <row r="21">
      <c r="A21">
        <f>NATS.SUB("stress.ticks.2")</f>
        <v/>
      </c>
      <c r="B21">
        <f>NATS.SUB("stress.prices.18")</f>
        <v/>
      </c>
      <c r="C21">
        <f>NATS.SUB("stress.prices.5")</f>
        <v/>
      </c>
      <c r="D21">
        <f>NATS.SUB("stress.logs.12")</f>
        <v/>
      </c>
      <c r="E21">
        <f>NATS.SUB("stress.prices.8")</f>
        <v/>
      </c>
      <c r="F21">
        <f>NATS.SUB("stress.events.3")</f>
        <v/>
      </c>
      <c r="G21">
        <f>NATS.SUB("stress.metrics.4")</f>
        <v/>
      </c>
      <c r="H21">
        <f>NATS.SUB("stress.metrics.0")</f>
        <v/>
      </c>
      <c r="I21">
        <f>NATS.SUB("stress.ticks.5")</f>
        <v/>
      </c>
      <c r="J21">
        <f>NATS.SUB("stress.metrics.10")</f>
        <v/>
      </c>
    </row>
    <row r="22">
      <c r="A22">
        <f>NATS.SUB("stress.telemetry.15")</f>
        <v/>
      </c>
      <c r="B22">
        <f>NATS.SUB("stress.sensors.6")</f>
        <v/>
      </c>
      <c r="C22">
        <f>NATS.SUB("stress.telemetry.11")</f>
        <v/>
      </c>
      <c r="D22">
        <f>NATS.SUB("stress.prices.17")</f>
        <v/>
      </c>
      <c r="E22">
        <f>NATS.SUB("stress.alerts.8")</f>
        <v/>
      </c>
      <c r="F22">
        <f>NATS.SUB("stress.logs.17")</f>
        <v/>
      </c>
      <c r="G22">
        <f>NATS.SUB("stress.prices.13")</f>
        <v/>
      </c>
      <c r="H22">
        <f>NATS.SUB("stress.alerts.17")</f>
        <v/>
      </c>
      <c r="I22">
        <f>NATS.SUB("stress.prices.8")</f>
        <v/>
      </c>
      <c r="J22">
        <f>NATS.SUB("stress.logs.17")</f>
        <v/>
      </c>
    </row>
    <row r="23">
      <c r="A23">
        <f>NATS.SUB("stress.prices.5")</f>
        <v/>
      </c>
      <c r="B23">
        <f>NATS.SUB("stress.orders.11")</f>
        <v/>
      </c>
      <c r="C23">
        <f>NATS.SUB("stress.alerts.3")</f>
        <v/>
      </c>
      <c r="D23">
        <f>NATS.SUB("stress.telemetry.4")</f>
        <v/>
      </c>
      <c r="E23">
        <f>NATS.SUB("stress.metrics.19")</f>
        <v/>
      </c>
      <c r="F23">
        <f>NATS.SUB("stress.telemetry.4")</f>
        <v/>
      </c>
      <c r="G23">
        <f>NATS.SUB("stress.sensors.6")</f>
        <v/>
      </c>
      <c r="H23">
        <f>NATS.SUB("stress.sensors.8")</f>
        <v/>
      </c>
      <c r="I23">
        <f>NATS.SUB("stress.ticks.2")</f>
        <v/>
      </c>
      <c r="J23">
        <f>NATS.SUB("stress.metrics.16")</f>
        <v/>
      </c>
    </row>
    <row r="24">
      <c r="A24">
        <f>NATS.SUB("stress.alerts.19")</f>
        <v/>
      </c>
      <c r="B24">
        <f>NATS.SUB("stress.ticks.12")</f>
        <v/>
      </c>
      <c r="C24">
        <f>NATS.SUB("stress.events.18")</f>
        <v/>
      </c>
      <c r="D24">
        <f>NATS.SUB("stress.alerts.10")</f>
        <v/>
      </c>
      <c r="E24">
        <f>NATS.SUB("stress.alerts.14")</f>
        <v/>
      </c>
      <c r="F24">
        <f>NATS.SUB("stress.metrics.15")</f>
        <v/>
      </c>
      <c r="G24">
        <f>NATS.SUB("stress.sensors.8")</f>
        <v/>
      </c>
      <c r="H24">
        <f>NATS.SUB("stress.prices.14")</f>
        <v/>
      </c>
      <c r="I24">
        <f>NATS.SUB("stress.metrics.7")</f>
        <v/>
      </c>
      <c r="J24">
        <f>NATS.SUB("stress.prices.2")</f>
        <v/>
      </c>
    </row>
    <row r="25">
      <c r="A25">
        <f>NATS.SUB("stress.telemetry.0")</f>
        <v/>
      </c>
      <c r="B25">
        <f>NATS.SUB("stress.sensors.10")</f>
        <v/>
      </c>
      <c r="C25">
        <f>NATS.SUB("stress.sensors.12")</f>
        <v/>
      </c>
      <c r="D25">
        <f>NATS.SUB("stress.sensors.17")</f>
        <v/>
      </c>
      <c r="E25">
        <f>NATS.SUB("stress.logs.11")</f>
        <v/>
      </c>
      <c r="F25">
        <f>NATS.SUB("stress.logs.12")</f>
        <v/>
      </c>
      <c r="G25">
        <f>NATS.SUB("stress.events.9")</f>
        <v/>
      </c>
      <c r="H25">
        <f>NATS.SUB("stress.sensors.16")</f>
        <v/>
      </c>
      <c r="I25">
        <f>NATS.SUB("stress.sensors.19")</f>
        <v/>
      </c>
      <c r="J25">
        <f>NATS.SUB("stress.events.14")</f>
        <v/>
      </c>
    </row>
    <row r="26">
      <c r="A26">
        <f>NATS.SUB("stress.status.6")</f>
        <v/>
      </c>
      <c r="B26">
        <f>NATS.SUB("stress.sensors.2")</f>
        <v/>
      </c>
      <c r="C26">
        <f>NATS.SUB("stress.sensors.14")</f>
        <v/>
      </c>
      <c r="D26">
        <f>NATS.SUB("stress.status.5")</f>
        <v/>
      </c>
      <c r="E26">
        <f>NATS.SUB("stress.ticks.5")</f>
        <v/>
      </c>
      <c r="F26">
        <f>NATS.SUB("stress.status.0")</f>
        <v/>
      </c>
      <c r="G26">
        <f>NATS.SUB("stress.status.7")</f>
        <v/>
      </c>
      <c r="H26">
        <f>NATS.SUB("stress.prices.13")</f>
        <v/>
      </c>
      <c r="I26">
        <f>NATS.SUB("stress.events.18")</f>
        <v/>
      </c>
      <c r="J26">
        <f>NATS.SUB("stress.events.18")</f>
        <v/>
      </c>
    </row>
    <row r="27">
      <c r="A27">
        <f>NATS.SUB("stress.telemetry.13")</f>
        <v/>
      </c>
      <c r="B27">
        <f>NATS.SUB("stress.prices.13")</f>
        <v/>
      </c>
      <c r="C27">
        <f>NATS.SUB("stress.telemetry.16")</f>
        <v/>
      </c>
      <c r="D27">
        <f>NATS.SUB("stress.telemetry.1")</f>
        <v/>
      </c>
      <c r="E27">
        <f>NATS.SUB("stress.sensors.15")</f>
        <v/>
      </c>
      <c r="F27">
        <f>NATS.SUB("stress.metrics.15")</f>
        <v/>
      </c>
      <c r="G27">
        <f>NATS.SUB("stress.orders.1")</f>
        <v/>
      </c>
      <c r="H27">
        <f>NATS.SUB("stress.alerts.6")</f>
        <v/>
      </c>
      <c r="I27">
        <f>NATS.SUB("stress.status.10")</f>
        <v/>
      </c>
      <c r="J27">
        <f>NATS.SUB("stress.alerts.15")</f>
        <v/>
      </c>
    </row>
    <row r="28">
      <c r="A28">
        <f>NATS.SUB("stress.orders.10")</f>
        <v/>
      </c>
      <c r="B28">
        <f>NATS.SUB("stress.events.19")</f>
        <v/>
      </c>
      <c r="C28">
        <f>NATS.SUB("stress.sensors.18")</f>
        <v/>
      </c>
      <c r="D28">
        <f>NATS.SUB("stress.status.12")</f>
        <v/>
      </c>
      <c r="E28">
        <f>NATS.SUB("stress.telemetry.4")</f>
        <v/>
      </c>
      <c r="F28">
        <f>NATS.SUB("stress.prices.8")</f>
        <v/>
      </c>
      <c r="G28">
        <f>NATS.SUB("stress.logs.4")</f>
        <v/>
      </c>
      <c r="H28">
        <f>NATS.SUB("stress.telemetry.18")</f>
        <v/>
      </c>
      <c r="I28">
        <f>NATS.SUB("stress.prices.7")</f>
        <v/>
      </c>
      <c r="J28">
        <f>NATS.SUB("stress.metrics.19")</f>
        <v/>
      </c>
    </row>
    <row r="29">
      <c r="A29">
        <f>NATS.SUB("stress.alerts.13")</f>
        <v/>
      </c>
      <c r="B29">
        <f>NATS.SUB("stress.status.15")</f>
        <v/>
      </c>
      <c r="C29">
        <f>NATS.SUB("stress.orders.7")</f>
        <v/>
      </c>
      <c r="D29">
        <f>NATS.SUB("stress.alerts.15")</f>
        <v/>
      </c>
      <c r="E29">
        <f>NATS.SUB("stress.status.15")</f>
        <v/>
      </c>
      <c r="F29">
        <f>NATS.SUB("stress.prices.13")</f>
        <v/>
      </c>
      <c r="G29">
        <f>NATS.SUB("stress.ticks.5")</f>
        <v/>
      </c>
      <c r="H29">
        <f>NATS.SUB("stress.events.14")</f>
        <v/>
      </c>
      <c r="I29">
        <f>NATS.SUB("stress.orders.14")</f>
        <v/>
      </c>
      <c r="J29">
        <f>NATS.SUB("stress.status.19")</f>
        <v/>
      </c>
    </row>
    <row r="30">
      <c r="A30">
        <f>NATS.SUB("stress.telemetry.17")</f>
        <v/>
      </c>
      <c r="B30">
        <f>NATS.SUB("stress.sensors.15")</f>
        <v/>
      </c>
      <c r="C30">
        <f>NATS.SUB("stress.metrics.3")</f>
        <v/>
      </c>
      <c r="D30">
        <f>NATS.SUB("stress.prices.18")</f>
        <v/>
      </c>
      <c r="E30">
        <f>NATS.SUB("stress.status.1")</f>
        <v/>
      </c>
      <c r="F30">
        <f>NATS.SUB("stress.telemetry.16")</f>
        <v/>
      </c>
      <c r="G30">
        <f>NATS.SUB("stress.alerts.11")</f>
        <v/>
      </c>
      <c r="H30">
        <f>NATS.SUB("stress.prices.9")</f>
        <v/>
      </c>
      <c r="I30">
        <f>NATS.SUB("stress.status.16")</f>
        <v/>
      </c>
      <c r="J30">
        <f>NATS.SUB("stress.alerts.1")</f>
        <v/>
      </c>
    </row>
    <row r="31">
      <c r="A31">
        <f>NATS.SUB("stress.events.11")</f>
        <v/>
      </c>
      <c r="B31">
        <f>NATS.SUB("stress.status.8")</f>
        <v/>
      </c>
      <c r="C31">
        <f>NATS.SUB("stress.prices.4")</f>
        <v/>
      </c>
      <c r="D31">
        <f>NATS.SUB("stress.events.8")</f>
        <v/>
      </c>
      <c r="E31">
        <f>NATS.SUB("stress.prices.9")</f>
        <v/>
      </c>
      <c r="F31">
        <f>NATS.SUB("stress.ticks.4")</f>
        <v/>
      </c>
      <c r="G31">
        <f>NATS.SUB("stress.logs.17")</f>
        <v/>
      </c>
      <c r="H31">
        <f>NATS.SUB("stress.metrics.8")</f>
        <v/>
      </c>
      <c r="I31">
        <f>NATS.SUB("stress.events.15")</f>
        <v/>
      </c>
      <c r="J31">
        <f>NATS.SUB("stress.metrics.9")</f>
        <v/>
      </c>
    </row>
    <row r="32">
      <c r="A32">
        <f>NATS.SUB("stress.alerts.7")</f>
        <v/>
      </c>
      <c r="B32">
        <f>NATS.SUB("stress.events.3")</f>
        <v/>
      </c>
      <c r="C32">
        <f>NATS.SUB("stress.prices.5")</f>
        <v/>
      </c>
      <c r="D32">
        <f>NATS.SUB("stress.ticks.19")</f>
        <v/>
      </c>
      <c r="E32">
        <f>NATS.SUB("stress.alerts.10")</f>
        <v/>
      </c>
      <c r="F32">
        <f>NATS.SUB("stress.telemetry.11")</f>
        <v/>
      </c>
      <c r="G32">
        <f>NATS.SUB("stress.status.2")</f>
        <v/>
      </c>
      <c r="H32">
        <f>NATS.SUB("stress.events.18")</f>
        <v/>
      </c>
      <c r="I32">
        <f>NATS.SUB("stress.telemetry.4")</f>
        <v/>
      </c>
      <c r="J32">
        <f>NATS.SUB("stress.orders.19")</f>
        <v/>
      </c>
    </row>
    <row r="33">
      <c r="A33">
        <f>NATS.SUB("stress.alerts.3")</f>
        <v/>
      </c>
      <c r="B33">
        <f>NATS.SUB("stress.events.19")</f>
        <v/>
      </c>
      <c r="C33">
        <f>NATS.SUB("stress.sensors.5")</f>
        <v/>
      </c>
      <c r="D33">
        <f>NATS.SUB("stress.logs.14")</f>
        <v/>
      </c>
      <c r="E33">
        <f>NATS.SUB("stress.telemetry.3")</f>
        <v/>
      </c>
      <c r="F33">
        <f>NATS.SUB("stress.events.7")</f>
        <v/>
      </c>
      <c r="G33">
        <f>NATS.SUB("stress.prices.11")</f>
        <v/>
      </c>
      <c r="H33">
        <f>NATS.SUB("stress.metrics.11")</f>
        <v/>
      </c>
      <c r="I33">
        <f>NATS.SUB("stress.logs.3")</f>
        <v/>
      </c>
      <c r="J33">
        <f>NATS.SUB("stress.status.11")</f>
        <v/>
      </c>
    </row>
    <row r="34">
      <c r="A34">
        <f>NATS.SUB("stress.alerts.11")</f>
        <v/>
      </c>
      <c r="B34">
        <f>NATS.SUB("stress.ticks.6")</f>
        <v/>
      </c>
      <c r="C34">
        <f>NATS.SUB("stress.prices.2")</f>
        <v/>
      </c>
      <c r="D34">
        <f>NATS.SUB("stress.sensors.1")</f>
        <v/>
      </c>
      <c r="E34">
        <f>NATS.SUB("stress.alerts.19")</f>
        <v/>
      </c>
      <c r="F34">
        <f>NATS.SUB("stress.status.0")</f>
        <v/>
      </c>
      <c r="G34">
        <f>NATS.SUB("stress.sensors.15")</f>
        <v/>
      </c>
      <c r="H34">
        <f>NATS.SUB("stress.prices.13")</f>
        <v/>
      </c>
      <c r="I34">
        <f>NATS.SUB("stress.logs.11")</f>
        <v/>
      </c>
      <c r="J34">
        <f>NATS.SUB("stress.alerts.17")</f>
        <v/>
      </c>
    </row>
    <row r="35">
      <c r="A35">
        <f>NATS.SUB("stress.sensors.17")</f>
        <v/>
      </c>
      <c r="B35">
        <f>NATS.SUB("stress.metrics.9")</f>
        <v/>
      </c>
      <c r="C35">
        <f>NATS.SUB("stress.events.0")</f>
        <v/>
      </c>
      <c r="D35">
        <f>NATS.SUB("stress.sensors.15")</f>
        <v/>
      </c>
      <c r="E35">
        <f>NATS.SUB("stress.prices.15")</f>
        <v/>
      </c>
      <c r="F35">
        <f>NATS.SUB("stress.status.19")</f>
        <v/>
      </c>
      <c r="G35">
        <f>NATS.SUB("stress.metrics.1")</f>
        <v/>
      </c>
      <c r="H35">
        <f>NATS.SUB("stress.alerts.3")</f>
        <v/>
      </c>
      <c r="I35">
        <f>NATS.SUB("stress.sensors.7")</f>
        <v/>
      </c>
      <c r="J35">
        <f>NATS.SUB("stress.prices.4")</f>
        <v/>
      </c>
    </row>
    <row r="36">
      <c r="A36">
        <f>NATS.SUB("stress.orders.9")</f>
        <v/>
      </c>
      <c r="B36">
        <f>NATS.SUB("stress.metrics.1")</f>
        <v/>
      </c>
      <c r="C36">
        <f>NATS.SUB("stress.prices.13")</f>
        <v/>
      </c>
      <c r="D36">
        <f>NATS.SUB("stress.logs.19")</f>
        <v/>
      </c>
      <c r="E36">
        <f>NATS.SUB("stress.alerts.6")</f>
        <v/>
      </c>
      <c r="F36">
        <f>NATS.SUB("stress.events.15")</f>
        <v/>
      </c>
      <c r="G36">
        <f>NATS.SUB("stress.metrics.15")</f>
        <v/>
      </c>
      <c r="H36">
        <f>NATS.SUB("stress.alerts.3")</f>
        <v/>
      </c>
      <c r="I36">
        <f>NATS.SUB("stress.sensors.14")</f>
        <v/>
      </c>
      <c r="J36">
        <f>NATS.SUB("stress.ticks.9")</f>
        <v/>
      </c>
    </row>
    <row r="37">
      <c r="A37">
        <f>NATS.SUB("stress.logs.11")</f>
        <v/>
      </c>
      <c r="B37">
        <f>NATS.SUB("stress.ticks.15")</f>
        <v/>
      </c>
      <c r="C37">
        <f>NATS.SUB("stress.metrics.6")</f>
        <v/>
      </c>
      <c r="D37">
        <f>NATS.SUB("stress.prices.7")</f>
        <v/>
      </c>
      <c r="E37">
        <f>NATS.SUB("stress.status.18")</f>
        <v/>
      </c>
      <c r="F37">
        <f>NATS.SUB("stress.logs.5")</f>
        <v/>
      </c>
      <c r="G37">
        <f>NATS.SUB("stress.prices.13")</f>
        <v/>
      </c>
      <c r="H37">
        <f>NATS.SUB("stress.sensors.18")</f>
        <v/>
      </c>
      <c r="I37">
        <f>NATS.SUB("stress.telemetry.17")</f>
        <v/>
      </c>
      <c r="J37">
        <f>NATS.SUB("stress.sensors.6")</f>
        <v/>
      </c>
    </row>
    <row r="38">
      <c r="A38">
        <f>NATS.SUB("stress.ticks.3")</f>
        <v/>
      </c>
      <c r="B38">
        <f>NATS.SUB("stress.ticks.5")</f>
        <v/>
      </c>
      <c r="C38">
        <f>NATS.SUB("stress.metrics.8")</f>
        <v/>
      </c>
      <c r="D38">
        <f>NATS.SUB("stress.prices.18")</f>
        <v/>
      </c>
      <c r="E38">
        <f>NATS.SUB("stress.alerts.2")</f>
        <v/>
      </c>
      <c r="F38">
        <f>NATS.SUB("stress.events.16")</f>
        <v/>
      </c>
      <c r="G38">
        <f>NATS.SUB("stress.events.4")</f>
        <v/>
      </c>
      <c r="H38">
        <f>NATS.SUB("stress.telemetry.13")</f>
        <v/>
      </c>
      <c r="I38">
        <f>NATS.SUB("stress.alerts.9")</f>
        <v/>
      </c>
      <c r="J38">
        <f>NATS.SUB("stress.status.15")</f>
        <v/>
      </c>
    </row>
    <row r="39">
      <c r="A39">
        <f>NATS.SUB("stress.telemetry.1")</f>
        <v/>
      </c>
      <c r="B39">
        <f>NATS.SUB("stress.ticks.13")</f>
        <v/>
      </c>
      <c r="C39">
        <f>NATS.SUB("stress.ticks.8")</f>
        <v/>
      </c>
      <c r="D39">
        <f>NATS.SUB("stress.sensors.12")</f>
        <v/>
      </c>
      <c r="E39">
        <f>NATS.SUB("stress.prices.17")</f>
        <v/>
      </c>
      <c r="F39">
        <f>NATS.SUB("stress.sensors.16")</f>
        <v/>
      </c>
      <c r="G39">
        <f>NATS.SUB("stress.logs.12")</f>
        <v/>
      </c>
      <c r="H39">
        <f>NATS.SUB("stress.status.8")</f>
        <v/>
      </c>
      <c r="I39">
        <f>NATS.SUB("stress.alerts.14")</f>
        <v/>
      </c>
      <c r="J39">
        <f>NATS.SUB("stress.metrics.7")</f>
        <v/>
      </c>
    </row>
    <row r="40">
      <c r="A40">
        <f>NATS.SUB("stress.alerts.15")</f>
        <v/>
      </c>
      <c r="B40">
        <f>NATS.SUB("stress.orders.18")</f>
        <v/>
      </c>
      <c r="C40">
        <f>NATS.SUB("stress.orders.4")</f>
        <v/>
      </c>
      <c r="D40">
        <f>NATS.SUB("stress.metrics.4")</f>
        <v/>
      </c>
      <c r="E40">
        <f>NATS.SUB("stress.metrics.0")</f>
        <v/>
      </c>
      <c r="F40">
        <f>NATS.SUB("stress.telemetry.3")</f>
        <v/>
      </c>
      <c r="G40">
        <f>NATS.SUB("stress.logs.0")</f>
        <v/>
      </c>
      <c r="H40">
        <f>NATS.SUB("stress.logs.2")</f>
        <v/>
      </c>
      <c r="I40">
        <f>NATS.SUB("stress.telemetry.0")</f>
        <v/>
      </c>
      <c r="J40">
        <f>NATS.SUB("stress.telemetry.4")</f>
        <v/>
      </c>
    </row>
    <row r="41">
      <c r="A41">
        <f>NATS.SUB("stress.status.16")</f>
        <v/>
      </c>
      <c r="B41">
        <f>NATS.SUB("stress.metrics.2")</f>
        <v/>
      </c>
      <c r="C41">
        <f>NATS.SUB("stress.sensors.9")</f>
        <v/>
      </c>
      <c r="D41">
        <f>NATS.SUB("stress.telemetry.9")</f>
        <v/>
      </c>
      <c r="E41">
        <f>NATS.SUB("stress.orders.16")</f>
        <v/>
      </c>
      <c r="F41">
        <f>NATS.SUB("stress.telemetry.13")</f>
        <v/>
      </c>
      <c r="G41">
        <f>NATS.SUB("stress.events.9")</f>
        <v/>
      </c>
      <c r="H41">
        <f>NATS.SUB("stress.alerts.5")</f>
        <v/>
      </c>
      <c r="I41">
        <f>NATS.SUB("stress.metrics.16")</f>
        <v/>
      </c>
      <c r="J41">
        <f>NATS.SUB("stress.sensors.19")</f>
        <v/>
      </c>
    </row>
    <row r="42">
      <c r="A42">
        <f>NATS.SUB("stress.telemetry.10")</f>
        <v/>
      </c>
      <c r="B42">
        <f>NATS.SUB("stress.telemetry.14")</f>
        <v/>
      </c>
      <c r="C42">
        <f>NATS.SUB("stress.alerts.13")</f>
        <v/>
      </c>
      <c r="D42">
        <f>NATS.SUB("stress.sensors.4")</f>
        <v/>
      </c>
      <c r="E42">
        <f>NATS.SUB("stress.alerts.13")</f>
        <v/>
      </c>
      <c r="F42">
        <f>NATS.SUB("stress.orders.15")</f>
        <v/>
      </c>
      <c r="G42">
        <f>NATS.SUB("stress.orders.9")</f>
        <v/>
      </c>
      <c r="H42">
        <f>NATS.SUB("stress.sensors.14")</f>
        <v/>
      </c>
      <c r="I42">
        <f>NATS.SUB("stress.logs.9")</f>
        <v/>
      </c>
      <c r="J42">
        <f>NATS.SUB("stress.sensors.10")</f>
        <v/>
      </c>
    </row>
    <row r="43">
      <c r="A43">
        <f>NATS.SUB("stress.logs.17")</f>
        <v/>
      </c>
      <c r="B43">
        <f>NATS.SUB("stress.ticks.3")</f>
        <v/>
      </c>
      <c r="C43">
        <f>NATS.SUB("stress.status.2")</f>
        <v/>
      </c>
      <c r="D43">
        <f>NATS.SUB("stress.prices.13")</f>
        <v/>
      </c>
      <c r="E43">
        <f>NATS.SUB("stress.events.16")</f>
        <v/>
      </c>
      <c r="F43">
        <f>NATS.SUB("stress.telemetry.18")</f>
        <v/>
      </c>
      <c r="G43">
        <f>NATS.SUB("stress.sensors.18")</f>
        <v/>
      </c>
      <c r="H43">
        <f>NATS.SUB("stress.sensors.9")</f>
        <v/>
      </c>
      <c r="I43">
        <f>NATS.SUB("stress.telemetry.7")</f>
        <v/>
      </c>
      <c r="J43">
        <f>NATS.SUB("stress.prices.8")</f>
        <v/>
      </c>
    </row>
    <row r="44">
      <c r="A44">
        <f>NATS.SUB("stress.alerts.18")</f>
        <v/>
      </c>
      <c r="B44">
        <f>NATS.SUB("stress.orders.16")</f>
        <v/>
      </c>
      <c r="C44">
        <f>NATS.SUB("stress.prices.13")</f>
        <v/>
      </c>
      <c r="D44">
        <f>NATS.SUB("stress.logs.5")</f>
        <v/>
      </c>
      <c r="E44">
        <f>NATS.SUB("stress.sensors.9")</f>
        <v/>
      </c>
      <c r="F44">
        <f>NATS.SUB("stress.alerts.9")</f>
        <v/>
      </c>
      <c r="G44">
        <f>NATS.SUB("stress.sensors.9")</f>
        <v/>
      </c>
      <c r="H44">
        <f>NATS.SUB("stress.ticks.11")</f>
        <v/>
      </c>
      <c r="I44">
        <f>NATS.SUB("stress.sensors.18")</f>
        <v/>
      </c>
      <c r="J44">
        <f>NATS.SUB("stress.orders.4")</f>
        <v/>
      </c>
    </row>
    <row r="45">
      <c r="A45">
        <f>NATS.SUB("stress.status.12")</f>
        <v/>
      </c>
      <c r="B45">
        <f>NATS.SUB("stress.orders.12")</f>
        <v/>
      </c>
      <c r="C45">
        <f>NATS.SUB("stress.status.7")</f>
        <v/>
      </c>
      <c r="D45">
        <f>NATS.SUB("stress.metrics.6")</f>
        <v/>
      </c>
      <c r="E45">
        <f>NATS.SUB("stress.alerts.14")</f>
        <v/>
      </c>
      <c r="F45">
        <f>NATS.SUB("stress.alerts.19")</f>
        <v/>
      </c>
      <c r="G45">
        <f>NATS.SUB("stress.ticks.1")</f>
        <v/>
      </c>
      <c r="H45">
        <f>NATS.SUB("stress.alerts.9")</f>
        <v/>
      </c>
      <c r="I45">
        <f>NATS.SUB("stress.orders.19")</f>
        <v/>
      </c>
      <c r="J45">
        <f>NATS.SUB("stress.status.8")</f>
        <v/>
      </c>
    </row>
    <row r="46">
      <c r="A46">
        <f>NATS.SUB("stress.metrics.19")</f>
        <v/>
      </c>
      <c r="B46">
        <f>NATS.SUB("stress.alerts.4")</f>
        <v/>
      </c>
      <c r="C46">
        <f>NATS.SUB("stress.ticks.2")</f>
        <v/>
      </c>
      <c r="D46">
        <f>NATS.SUB("stress.events.5")</f>
        <v/>
      </c>
      <c r="E46">
        <f>NATS.SUB("stress.alerts.12")</f>
        <v/>
      </c>
      <c r="F46">
        <f>NATS.SUB("stress.metrics.17")</f>
        <v/>
      </c>
      <c r="G46">
        <f>NATS.SUB("stress.events.11")</f>
        <v/>
      </c>
      <c r="H46">
        <f>NATS.SUB("stress.status.8")</f>
        <v/>
      </c>
      <c r="I46">
        <f>NATS.SUB("stress.ticks.14")</f>
        <v/>
      </c>
      <c r="J46">
        <f>NATS.SUB("stress.ticks.11")</f>
        <v/>
      </c>
    </row>
    <row r="47">
      <c r="A47">
        <f>NATS.SUB("stress.alerts.12")</f>
        <v/>
      </c>
      <c r="B47">
        <f>NATS.SUB("stress.events.5")</f>
        <v/>
      </c>
      <c r="C47">
        <f>NATS.SUB("stress.events.5")</f>
        <v/>
      </c>
      <c r="D47">
        <f>NATS.SUB("stress.events.12")</f>
        <v/>
      </c>
      <c r="E47">
        <f>NATS.SUB("stress.prices.1")</f>
        <v/>
      </c>
      <c r="F47">
        <f>NATS.SUB("stress.status.3")</f>
        <v/>
      </c>
      <c r="G47">
        <f>NATS.SUB("stress.logs.18")</f>
        <v/>
      </c>
      <c r="H47">
        <f>NATS.SUB("stress.events.16")</f>
        <v/>
      </c>
      <c r="I47">
        <f>NATS.SUB("stress.status.3")</f>
        <v/>
      </c>
      <c r="J47">
        <f>NATS.SUB("stress.orders.13")</f>
        <v/>
      </c>
    </row>
    <row r="48">
      <c r="A48">
        <f>NATS.SUB("stress.prices.4")</f>
        <v/>
      </c>
      <c r="B48">
        <f>NATS.SUB("stress.metrics.5")</f>
        <v/>
      </c>
      <c r="C48">
        <f>NATS.SUB("stress.telemetry.8")</f>
        <v/>
      </c>
      <c r="D48">
        <f>NATS.SUB("stress.metrics.12")</f>
        <v/>
      </c>
      <c r="E48">
        <f>NATS.SUB("stress.alerts.14")</f>
        <v/>
      </c>
      <c r="F48">
        <f>NATS.SUB("stress.alerts.11")</f>
        <v/>
      </c>
      <c r="G48">
        <f>NATS.SUB("stress.status.12")</f>
        <v/>
      </c>
      <c r="H48">
        <f>NATS.SUB("stress.metrics.4")</f>
        <v/>
      </c>
      <c r="I48">
        <f>NATS.SUB("stress.logs.19")</f>
        <v/>
      </c>
      <c r="J48">
        <f>NATS.SUB("stress.status.9")</f>
        <v/>
      </c>
    </row>
    <row r="49">
      <c r="A49">
        <f>NATS.SUB("stress.orders.0")</f>
        <v/>
      </c>
      <c r="B49">
        <f>NATS.SUB("stress.prices.16")</f>
        <v/>
      </c>
      <c r="C49">
        <f>NATS.SUB("stress.alerts.0")</f>
        <v/>
      </c>
      <c r="D49">
        <f>NATS.SUB("stress.status.16")</f>
        <v/>
      </c>
      <c r="E49">
        <f>NATS.SUB("stress.alerts.9")</f>
        <v/>
      </c>
      <c r="F49">
        <f>NATS.SUB("stress.prices.7")</f>
        <v/>
      </c>
      <c r="G49">
        <f>NATS.SUB("stress.orders.3")</f>
        <v/>
      </c>
      <c r="H49">
        <f>NATS.SUB("stress.orders.17")</f>
        <v/>
      </c>
      <c r="I49">
        <f>NATS.SUB("stress.orders.16")</f>
        <v/>
      </c>
      <c r="J49">
        <f>NATS.SUB("stress.telemetry.15")</f>
        <v/>
      </c>
    </row>
    <row r="50">
      <c r="A50">
        <f>NATS.SUB("stress.prices.4")</f>
        <v/>
      </c>
      <c r="B50">
        <f>NATS.SUB("stress.status.9")</f>
        <v/>
      </c>
      <c r="C50">
        <f>NATS.SUB("stress.logs.19")</f>
        <v/>
      </c>
      <c r="D50">
        <f>NATS.SUB("stress.status.1")</f>
        <v/>
      </c>
      <c r="E50">
        <f>NATS.SUB("stress.telemetry.19")</f>
        <v/>
      </c>
      <c r="F50">
        <f>NATS.SUB("stress.sensors.5")</f>
        <v/>
      </c>
      <c r="G50">
        <f>NATS.SUB("stress.telemetry.8")</f>
        <v/>
      </c>
      <c r="H50">
        <f>NATS.SUB("stress.sensors.1")</f>
        <v/>
      </c>
      <c r="I50">
        <f>NATS.SUB("stress.status.4")</f>
        <v/>
      </c>
      <c r="J50">
        <f>NATS.SUB("stress.prices.5")</f>
        <v/>
      </c>
    </row>
    <row r="51">
      <c r="A51">
        <f>NATS.SUB("stress.alerts.17")</f>
        <v/>
      </c>
      <c r="B51">
        <f>NATS.SUB("stress.telemetry.1")</f>
        <v/>
      </c>
      <c r="C51">
        <f>NATS.SUB("stress.telemetry.6")</f>
        <v/>
      </c>
      <c r="D51">
        <f>NATS.SUB("stress.telemetry.16")</f>
        <v/>
      </c>
      <c r="E51">
        <f>NATS.SUB("stress.alerts.17")</f>
        <v/>
      </c>
      <c r="F51">
        <f>NATS.SUB("stress.sensors.1")</f>
        <v/>
      </c>
      <c r="G51">
        <f>NATS.SUB("stress.ticks.7")</f>
        <v/>
      </c>
      <c r="H51">
        <f>NATS.SUB("stress.metrics.14")</f>
        <v/>
      </c>
      <c r="I51">
        <f>NATS.SUB("stress.events.16")</f>
        <v/>
      </c>
      <c r="J51">
        <f>NATS.SUB("stress.events.17")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2" t="inlineStr">
        <is>
          <t>Stress Test Workbook</t>
        </is>
      </c>
    </row>
    <row r="3">
      <c r="A3" t="inlineStr">
        <is>
          <t>Unique subjects:</t>
        </is>
      </c>
      <c r="B3" t="n">
        <v>200</v>
      </c>
    </row>
    <row r="4">
      <c r="A4" t="inlineStr">
        <is>
          <t>Total RTD cells:</t>
        </is>
      </c>
      <c r="B4" t="n">
        <v>500</v>
      </c>
    </row>
    <row r="5">
      <c r="A5" t="inlineStr">
        <is>
          <t>Duplicate ratio:</t>
        </is>
      </c>
      <c r="B5" t="inlineStr">
        <is>
          <t>60%</t>
        </is>
      </c>
    </row>
    <row r="7">
      <c r="A7" t="inlineStr">
        <is>
          <t>Subject pattern:</t>
        </is>
      </c>
      <c r="B7" t="inlineStr">
        <is>
          <t>stress.{category}.{id}</t>
        </is>
      </c>
    </row>
    <row r="8">
      <c r="A8" t="inlineStr">
        <is>
          <t>Categories:</t>
        </is>
      </c>
      <c r="B8" t="inlineStr">
        <is>
          <t>prices, sensors, metrics, orders, events, ticks, status, alerts, logs, telemetry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</cols>
  <sheetData>
    <row r="1">
      <c r="A1" s="3" t="inlineStr">
        <is>
          <t>Category</t>
        </is>
      </c>
      <c r="B1" s="3" t="inlineStr">
        <is>
          <t>Subject</t>
        </is>
      </c>
      <c r="C1" s="3" t="inlineStr">
        <is>
          <t>Value</t>
        </is>
      </c>
    </row>
    <row r="2">
      <c r="A2" t="inlineStr">
        <is>
          <t>alerts</t>
        </is>
      </c>
      <c r="B2" t="inlineStr">
        <is>
          <t>stress.alerts.0</t>
        </is>
      </c>
      <c r="C2">
        <f>NATS.SUB("stress.alerts.0")</f>
        <v/>
      </c>
    </row>
    <row r="3">
      <c r="A3" t="inlineStr">
        <is>
          <t>alerts</t>
        </is>
      </c>
      <c r="B3" t="inlineStr">
        <is>
          <t>stress.alerts.1</t>
        </is>
      </c>
      <c r="C3">
        <f>NATS.SUB("stress.alerts.1")</f>
        <v/>
      </c>
    </row>
    <row r="4">
      <c r="A4" t="inlineStr">
        <is>
          <t>alerts</t>
        </is>
      </c>
      <c r="B4" t="inlineStr">
        <is>
          <t>stress.alerts.10</t>
        </is>
      </c>
      <c r="C4">
        <f>NATS.SUB("stress.alerts.10")</f>
        <v/>
      </c>
    </row>
    <row r="5">
      <c r="A5" t="inlineStr">
        <is>
          <t>alerts</t>
        </is>
      </c>
      <c r="B5" t="inlineStr">
        <is>
          <t>stress.alerts.11</t>
        </is>
      </c>
      <c r="C5">
        <f>NATS.SUB("stress.alerts.11")</f>
        <v/>
      </c>
    </row>
    <row r="6">
      <c r="A6" t="inlineStr">
        <is>
          <t>alerts</t>
        </is>
      </c>
      <c r="B6" t="inlineStr">
        <is>
          <t>stress.alerts.12</t>
        </is>
      </c>
      <c r="C6">
        <f>NATS.SUB("stress.alerts.12")</f>
        <v/>
      </c>
    </row>
    <row r="7">
      <c r="A7" t="inlineStr">
        <is>
          <t>alerts</t>
        </is>
      </c>
      <c r="B7" t="inlineStr">
        <is>
          <t>stress.alerts.13</t>
        </is>
      </c>
      <c r="C7">
        <f>NATS.SUB("stress.alerts.13")</f>
        <v/>
      </c>
    </row>
    <row r="8">
      <c r="A8" t="inlineStr">
        <is>
          <t>alerts</t>
        </is>
      </c>
      <c r="B8" t="inlineStr">
        <is>
          <t>stress.alerts.14</t>
        </is>
      </c>
      <c r="C8">
        <f>NATS.SUB("stress.alerts.14")</f>
        <v/>
      </c>
    </row>
    <row r="9">
      <c r="A9" t="inlineStr">
        <is>
          <t>alerts</t>
        </is>
      </c>
      <c r="B9" t="inlineStr">
        <is>
          <t>stress.alerts.15</t>
        </is>
      </c>
      <c r="C9">
        <f>NATS.SUB("stress.alerts.15")</f>
        <v/>
      </c>
    </row>
    <row r="10">
      <c r="A10" t="inlineStr">
        <is>
          <t>alerts</t>
        </is>
      </c>
      <c r="B10" t="inlineStr">
        <is>
          <t>stress.alerts.16</t>
        </is>
      </c>
      <c r="C10">
        <f>NATS.SUB("stress.alerts.16")</f>
        <v/>
      </c>
    </row>
    <row r="11">
      <c r="A11" t="inlineStr">
        <is>
          <t>alerts</t>
        </is>
      </c>
      <c r="B11" t="inlineStr">
        <is>
          <t>stress.alerts.17</t>
        </is>
      </c>
      <c r="C11">
        <f>NATS.SUB("stress.alerts.17")</f>
        <v/>
      </c>
    </row>
    <row r="12">
      <c r="A12" t="inlineStr">
        <is>
          <t>alerts</t>
        </is>
      </c>
      <c r="B12" t="inlineStr">
        <is>
          <t>stress.alerts.18</t>
        </is>
      </c>
      <c r="C12">
        <f>NATS.SUB("stress.alerts.18")</f>
        <v/>
      </c>
    </row>
    <row r="13">
      <c r="A13" t="inlineStr">
        <is>
          <t>alerts</t>
        </is>
      </c>
      <c r="B13" t="inlineStr">
        <is>
          <t>stress.alerts.19</t>
        </is>
      </c>
      <c r="C13">
        <f>NATS.SUB("stress.alerts.19")</f>
        <v/>
      </c>
    </row>
    <row r="14">
      <c r="A14" t="inlineStr">
        <is>
          <t>alerts</t>
        </is>
      </c>
      <c r="B14" t="inlineStr">
        <is>
          <t>stress.alerts.2</t>
        </is>
      </c>
      <c r="C14">
        <f>NATS.SUB("stress.alerts.2")</f>
        <v/>
      </c>
    </row>
    <row r="15">
      <c r="A15" t="inlineStr">
        <is>
          <t>alerts</t>
        </is>
      </c>
      <c r="B15" t="inlineStr">
        <is>
          <t>stress.alerts.3</t>
        </is>
      </c>
      <c r="C15">
        <f>NATS.SUB("stress.alerts.3")</f>
        <v/>
      </c>
    </row>
    <row r="16">
      <c r="A16" t="inlineStr">
        <is>
          <t>alerts</t>
        </is>
      </c>
      <c r="B16" t="inlineStr">
        <is>
          <t>stress.alerts.4</t>
        </is>
      </c>
      <c r="C16">
        <f>NATS.SUB("stress.alerts.4")</f>
        <v/>
      </c>
    </row>
    <row r="17">
      <c r="A17" t="inlineStr">
        <is>
          <t>alerts</t>
        </is>
      </c>
      <c r="B17" t="inlineStr">
        <is>
          <t>stress.alerts.5</t>
        </is>
      </c>
      <c r="C17">
        <f>NATS.SUB("stress.alerts.5")</f>
        <v/>
      </c>
    </row>
    <row r="18">
      <c r="A18" t="inlineStr">
        <is>
          <t>alerts</t>
        </is>
      </c>
      <c r="B18" t="inlineStr">
        <is>
          <t>stress.alerts.6</t>
        </is>
      </c>
      <c r="C18">
        <f>NATS.SUB("stress.alerts.6")</f>
        <v/>
      </c>
    </row>
    <row r="19">
      <c r="A19" t="inlineStr">
        <is>
          <t>alerts</t>
        </is>
      </c>
      <c r="B19" t="inlineStr">
        <is>
          <t>stress.alerts.7</t>
        </is>
      </c>
      <c r="C19">
        <f>NATS.SUB("stress.alerts.7")</f>
        <v/>
      </c>
    </row>
    <row r="20">
      <c r="A20" t="inlineStr">
        <is>
          <t>alerts</t>
        </is>
      </c>
      <c r="B20" t="inlineStr">
        <is>
          <t>stress.alerts.8</t>
        </is>
      </c>
      <c r="C20">
        <f>NATS.SUB("stress.alerts.8")</f>
        <v/>
      </c>
    </row>
    <row r="21">
      <c r="A21" t="inlineStr">
        <is>
          <t>alerts</t>
        </is>
      </c>
      <c r="B21" t="inlineStr">
        <is>
          <t>stress.alerts.9</t>
        </is>
      </c>
      <c r="C21">
        <f>NATS.SUB("stress.alerts.9")</f>
        <v/>
      </c>
    </row>
    <row r="22">
      <c r="A22" t="inlineStr">
        <is>
          <t>events</t>
        </is>
      </c>
      <c r="B22" t="inlineStr">
        <is>
          <t>stress.events.0</t>
        </is>
      </c>
      <c r="C22">
        <f>NATS.SUB("stress.events.0")</f>
        <v/>
      </c>
    </row>
    <row r="23">
      <c r="A23" t="inlineStr">
        <is>
          <t>events</t>
        </is>
      </c>
      <c r="B23" t="inlineStr">
        <is>
          <t>stress.events.1</t>
        </is>
      </c>
      <c r="C23">
        <f>NATS.SUB("stress.events.1")</f>
        <v/>
      </c>
    </row>
    <row r="24">
      <c r="A24" t="inlineStr">
        <is>
          <t>events</t>
        </is>
      </c>
      <c r="B24" t="inlineStr">
        <is>
          <t>stress.events.10</t>
        </is>
      </c>
      <c r="C24">
        <f>NATS.SUB("stress.events.10")</f>
        <v/>
      </c>
    </row>
    <row r="25">
      <c r="A25" t="inlineStr">
        <is>
          <t>events</t>
        </is>
      </c>
      <c r="B25" t="inlineStr">
        <is>
          <t>stress.events.11</t>
        </is>
      </c>
      <c r="C25">
        <f>NATS.SUB("stress.events.11")</f>
        <v/>
      </c>
    </row>
    <row r="26">
      <c r="A26" t="inlineStr">
        <is>
          <t>events</t>
        </is>
      </c>
      <c r="B26" t="inlineStr">
        <is>
          <t>stress.events.12</t>
        </is>
      </c>
      <c r="C26">
        <f>NATS.SUB("stress.events.12")</f>
        <v/>
      </c>
    </row>
    <row r="27">
      <c r="A27" t="inlineStr">
        <is>
          <t>events</t>
        </is>
      </c>
      <c r="B27" t="inlineStr">
        <is>
          <t>stress.events.13</t>
        </is>
      </c>
      <c r="C27">
        <f>NATS.SUB("stress.events.13")</f>
        <v/>
      </c>
    </row>
    <row r="28">
      <c r="A28" t="inlineStr">
        <is>
          <t>events</t>
        </is>
      </c>
      <c r="B28" t="inlineStr">
        <is>
          <t>stress.events.14</t>
        </is>
      </c>
      <c r="C28">
        <f>NATS.SUB("stress.events.14")</f>
        <v/>
      </c>
    </row>
    <row r="29">
      <c r="A29" t="inlineStr">
        <is>
          <t>events</t>
        </is>
      </c>
      <c r="B29" t="inlineStr">
        <is>
          <t>stress.events.15</t>
        </is>
      </c>
      <c r="C29">
        <f>NATS.SUB("stress.events.15")</f>
        <v/>
      </c>
    </row>
    <row r="30">
      <c r="A30" t="inlineStr">
        <is>
          <t>events</t>
        </is>
      </c>
      <c r="B30" t="inlineStr">
        <is>
          <t>stress.events.16</t>
        </is>
      </c>
      <c r="C30">
        <f>NATS.SUB("stress.events.16")</f>
        <v/>
      </c>
    </row>
    <row r="31">
      <c r="A31" t="inlineStr">
        <is>
          <t>events</t>
        </is>
      </c>
      <c r="B31" t="inlineStr">
        <is>
          <t>stress.events.17</t>
        </is>
      </c>
      <c r="C31">
        <f>NATS.SUB("stress.events.17")</f>
        <v/>
      </c>
    </row>
    <row r="32">
      <c r="A32" t="inlineStr">
        <is>
          <t>events</t>
        </is>
      </c>
      <c r="B32" t="inlineStr">
        <is>
          <t>stress.events.18</t>
        </is>
      </c>
      <c r="C32">
        <f>NATS.SUB("stress.events.18")</f>
        <v/>
      </c>
    </row>
    <row r="33">
      <c r="A33" t="inlineStr">
        <is>
          <t>events</t>
        </is>
      </c>
      <c r="B33" t="inlineStr">
        <is>
          <t>stress.events.19</t>
        </is>
      </c>
      <c r="C33">
        <f>NATS.SUB("stress.events.19")</f>
        <v/>
      </c>
    </row>
    <row r="34">
      <c r="A34" t="inlineStr">
        <is>
          <t>events</t>
        </is>
      </c>
      <c r="B34" t="inlineStr">
        <is>
          <t>stress.events.2</t>
        </is>
      </c>
      <c r="C34">
        <f>NATS.SUB("stress.events.2")</f>
        <v/>
      </c>
    </row>
    <row r="35">
      <c r="A35" t="inlineStr">
        <is>
          <t>events</t>
        </is>
      </c>
      <c r="B35" t="inlineStr">
        <is>
          <t>stress.events.3</t>
        </is>
      </c>
      <c r="C35">
        <f>NATS.SUB("stress.events.3")</f>
        <v/>
      </c>
    </row>
    <row r="36">
      <c r="A36" t="inlineStr">
        <is>
          <t>events</t>
        </is>
      </c>
      <c r="B36" t="inlineStr">
        <is>
          <t>stress.events.4</t>
        </is>
      </c>
      <c r="C36">
        <f>NATS.SUB("stress.events.4")</f>
        <v/>
      </c>
    </row>
    <row r="37">
      <c r="A37" t="inlineStr">
        <is>
          <t>events</t>
        </is>
      </c>
      <c r="B37" t="inlineStr">
        <is>
          <t>stress.events.5</t>
        </is>
      </c>
      <c r="C37">
        <f>NATS.SUB("stress.events.5")</f>
        <v/>
      </c>
    </row>
    <row r="38">
      <c r="A38" t="inlineStr">
        <is>
          <t>events</t>
        </is>
      </c>
      <c r="B38" t="inlineStr">
        <is>
          <t>stress.events.6</t>
        </is>
      </c>
      <c r="C38">
        <f>NATS.SUB("stress.events.6")</f>
        <v/>
      </c>
    </row>
    <row r="39">
      <c r="A39" t="inlineStr">
        <is>
          <t>events</t>
        </is>
      </c>
      <c r="B39" t="inlineStr">
        <is>
          <t>stress.events.7</t>
        </is>
      </c>
      <c r="C39">
        <f>NATS.SUB("stress.events.7")</f>
        <v/>
      </c>
    </row>
    <row r="40">
      <c r="A40" t="inlineStr">
        <is>
          <t>events</t>
        </is>
      </c>
      <c r="B40" t="inlineStr">
        <is>
          <t>stress.events.8</t>
        </is>
      </c>
      <c r="C40">
        <f>NATS.SUB("stress.events.8")</f>
        <v/>
      </c>
    </row>
    <row r="41">
      <c r="A41" t="inlineStr">
        <is>
          <t>events</t>
        </is>
      </c>
      <c r="B41" t="inlineStr">
        <is>
          <t>stress.events.9</t>
        </is>
      </c>
      <c r="C41">
        <f>NATS.SUB("stress.events.9")</f>
        <v/>
      </c>
    </row>
    <row r="42">
      <c r="A42" t="inlineStr">
        <is>
          <t>logs</t>
        </is>
      </c>
      <c r="B42" t="inlineStr">
        <is>
          <t>stress.logs.0</t>
        </is>
      </c>
      <c r="C42">
        <f>NATS.SUB("stress.logs.0")</f>
        <v/>
      </c>
    </row>
    <row r="43">
      <c r="A43" t="inlineStr">
        <is>
          <t>logs</t>
        </is>
      </c>
      <c r="B43" t="inlineStr">
        <is>
          <t>stress.logs.1</t>
        </is>
      </c>
      <c r="C43">
        <f>NATS.SUB("stress.logs.1")</f>
        <v/>
      </c>
    </row>
    <row r="44">
      <c r="A44" t="inlineStr">
        <is>
          <t>logs</t>
        </is>
      </c>
      <c r="B44" t="inlineStr">
        <is>
          <t>stress.logs.10</t>
        </is>
      </c>
      <c r="C44">
        <f>NATS.SUB("stress.logs.10")</f>
        <v/>
      </c>
    </row>
    <row r="45">
      <c r="A45" t="inlineStr">
        <is>
          <t>logs</t>
        </is>
      </c>
      <c r="B45" t="inlineStr">
        <is>
          <t>stress.logs.11</t>
        </is>
      </c>
      <c r="C45">
        <f>NATS.SUB("stress.logs.11")</f>
        <v/>
      </c>
    </row>
    <row r="46">
      <c r="A46" t="inlineStr">
        <is>
          <t>logs</t>
        </is>
      </c>
      <c r="B46" t="inlineStr">
        <is>
          <t>stress.logs.12</t>
        </is>
      </c>
      <c r="C46">
        <f>NATS.SUB("stress.logs.12")</f>
        <v/>
      </c>
    </row>
    <row r="47">
      <c r="A47" t="inlineStr">
        <is>
          <t>logs</t>
        </is>
      </c>
      <c r="B47" t="inlineStr">
        <is>
          <t>stress.logs.13</t>
        </is>
      </c>
      <c r="C47">
        <f>NATS.SUB("stress.logs.13")</f>
        <v/>
      </c>
    </row>
    <row r="48">
      <c r="A48" t="inlineStr">
        <is>
          <t>logs</t>
        </is>
      </c>
      <c r="B48" t="inlineStr">
        <is>
          <t>stress.logs.14</t>
        </is>
      </c>
      <c r="C48">
        <f>NATS.SUB("stress.logs.14")</f>
        <v/>
      </c>
    </row>
    <row r="49">
      <c r="A49" t="inlineStr">
        <is>
          <t>logs</t>
        </is>
      </c>
      <c r="B49" t="inlineStr">
        <is>
          <t>stress.logs.15</t>
        </is>
      </c>
      <c r="C49">
        <f>NATS.SUB("stress.logs.15")</f>
        <v/>
      </c>
    </row>
    <row r="50">
      <c r="A50" t="inlineStr">
        <is>
          <t>logs</t>
        </is>
      </c>
      <c r="B50" t="inlineStr">
        <is>
          <t>stress.logs.16</t>
        </is>
      </c>
      <c r="C50">
        <f>NATS.SUB("stress.logs.16")</f>
        <v/>
      </c>
    </row>
    <row r="51">
      <c r="A51" t="inlineStr">
        <is>
          <t>logs</t>
        </is>
      </c>
      <c r="B51" t="inlineStr">
        <is>
          <t>stress.logs.17</t>
        </is>
      </c>
      <c r="C51">
        <f>NATS.SUB("stress.logs.17")</f>
        <v/>
      </c>
    </row>
    <row r="52">
      <c r="A52" t="inlineStr">
        <is>
          <t>logs</t>
        </is>
      </c>
      <c r="B52" t="inlineStr">
        <is>
          <t>stress.logs.18</t>
        </is>
      </c>
      <c r="C52">
        <f>NATS.SUB("stress.logs.18")</f>
        <v/>
      </c>
    </row>
    <row r="53">
      <c r="A53" t="inlineStr">
        <is>
          <t>logs</t>
        </is>
      </c>
      <c r="B53" t="inlineStr">
        <is>
          <t>stress.logs.19</t>
        </is>
      </c>
      <c r="C53">
        <f>NATS.SUB("stress.logs.19")</f>
        <v/>
      </c>
    </row>
    <row r="54">
      <c r="A54" t="inlineStr">
        <is>
          <t>logs</t>
        </is>
      </c>
      <c r="B54" t="inlineStr">
        <is>
          <t>stress.logs.2</t>
        </is>
      </c>
      <c r="C54">
        <f>NATS.SUB("stress.logs.2")</f>
        <v/>
      </c>
    </row>
    <row r="55">
      <c r="A55" t="inlineStr">
        <is>
          <t>logs</t>
        </is>
      </c>
      <c r="B55" t="inlineStr">
        <is>
          <t>stress.logs.3</t>
        </is>
      </c>
      <c r="C55">
        <f>NATS.SUB("stress.logs.3")</f>
        <v/>
      </c>
    </row>
    <row r="56">
      <c r="A56" t="inlineStr">
        <is>
          <t>logs</t>
        </is>
      </c>
      <c r="B56" t="inlineStr">
        <is>
          <t>stress.logs.4</t>
        </is>
      </c>
      <c r="C56">
        <f>NATS.SUB("stress.logs.4")</f>
        <v/>
      </c>
    </row>
    <row r="57">
      <c r="A57" t="inlineStr">
        <is>
          <t>logs</t>
        </is>
      </c>
      <c r="B57" t="inlineStr">
        <is>
          <t>stress.logs.5</t>
        </is>
      </c>
      <c r="C57">
        <f>NATS.SUB("stress.logs.5")</f>
        <v/>
      </c>
    </row>
    <row r="58">
      <c r="A58" t="inlineStr">
        <is>
          <t>logs</t>
        </is>
      </c>
      <c r="B58" t="inlineStr">
        <is>
          <t>stress.logs.6</t>
        </is>
      </c>
      <c r="C58">
        <f>NATS.SUB("stress.logs.6")</f>
        <v/>
      </c>
    </row>
    <row r="59">
      <c r="A59" t="inlineStr">
        <is>
          <t>logs</t>
        </is>
      </c>
      <c r="B59" t="inlineStr">
        <is>
          <t>stress.logs.7</t>
        </is>
      </c>
      <c r="C59">
        <f>NATS.SUB("stress.logs.7")</f>
        <v/>
      </c>
    </row>
    <row r="60">
      <c r="A60" t="inlineStr">
        <is>
          <t>logs</t>
        </is>
      </c>
      <c r="B60" t="inlineStr">
        <is>
          <t>stress.logs.8</t>
        </is>
      </c>
      <c r="C60">
        <f>NATS.SUB("stress.logs.8")</f>
        <v/>
      </c>
    </row>
    <row r="61">
      <c r="A61" t="inlineStr">
        <is>
          <t>logs</t>
        </is>
      </c>
      <c r="B61" t="inlineStr">
        <is>
          <t>stress.logs.9</t>
        </is>
      </c>
      <c r="C61">
        <f>NATS.SUB("stress.logs.9")</f>
        <v/>
      </c>
    </row>
    <row r="62">
      <c r="A62" t="inlineStr">
        <is>
          <t>metrics</t>
        </is>
      </c>
      <c r="B62" t="inlineStr">
        <is>
          <t>stress.metrics.0</t>
        </is>
      </c>
      <c r="C62">
        <f>NATS.SUB("stress.metrics.0")</f>
        <v/>
      </c>
    </row>
    <row r="63">
      <c r="A63" t="inlineStr">
        <is>
          <t>metrics</t>
        </is>
      </c>
      <c r="B63" t="inlineStr">
        <is>
          <t>stress.metrics.1</t>
        </is>
      </c>
      <c r="C63">
        <f>NATS.SUB("stress.metrics.1")</f>
        <v/>
      </c>
    </row>
    <row r="64">
      <c r="A64" t="inlineStr">
        <is>
          <t>metrics</t>
        </is>
      </c>
      <c r="B64" t="inlineStr">
        <is>
          <t>stress.metrics.10</t>
        </is>
      </c>
      <c r="C64">
        <f>NATS.SUB("stress.metrics.10")</f>
        <v/>
      </c>
    </row>
    <row r="65">
      <c r="A65" t="inlineStr">
        <is>
          <t>metrics</t>
        </is>
      </c>
      <c r="B65" t="inlineStr">
        <is>
          <t>stress.metrics.11</t>
        </is>
      </c>
      <c r="C65">
        <f>NATS.SUB("stress.metrics.11")</f>
        <v/>
      </c>
    </row>
    <row r="66">
      <c r="A66" t="inlineStr">
        <is>
          <t>metrics</t>
        </is>
      </c>
      <c r="B66" t="inlineStr">
        <is>
          <t>stress.metrics.12</t>
        </is>
      </c>
      <c r="C66">
        <f>NATS.SUB("stress.metrics.12")</f>
        <v/>
      </c>
    </row>
    <row r="67">
      <c r="A67" t="inlineStr">
        <is>
          <t>metrics</t>
        </is>
      </c>
      <c r="B67" t="inlineStr">
        <is>
          <t>stress.metrics.13</t>
        </is>
      </c>
      <c r="C67">
        <f>NATS.SUB("stress.metrics.13")</f>
        <v/>
      </c>
    </row>
    <row r="68">
      <c r="A68" t="inlineStr">
        <is>
          <t>metrics</t>
        </is>
      </c>
      <c r="B68" t="inlineStr">
        <is>
          <t>stress.metrics.14</t>
        </is>
      </c>
      <c r="C68">
        <f>NATS.SUB("stress.metrics.14")</f>
        <v/>
      </c>
    </row>
    <row r="69">
      <c r="A69" t="inlineStr">
        <is>
          <t>metrics</t>
        </is>
      </c>
      <c r="B69" t="inlineStr">
        <is>
          <t>stress.metrics.15</t>
        </is>
      </c>
      <c r="C69">
        <f>NATS.SUB("stress.metrics.15")</f>
        <v/>
      </c>
    </row>
    <row r="70">
      <c r="A70" t="inlineStr">
        <is>
          <t>metrics</t>
        </is>
      </c>
      <c r="B70" t="inlineStr">
        <is>
          <t>stress.metrics.16</t>
        </is>
      </c>
      <c r="C70">
        <f>NATS.SUB("stress.metrics.16")</f>
        <v/>
      </c>
    </row>
    <row r="71">
      <c r="A71" t="inlineStr">
        <is>
          <t>metrics</t>
        </is>
      </c>
      <c r="B71" t="inlineStr">
        <is>
          <t>stress.metrics.17</t>
        </is>
      </c>
      <c r="C71">
        <f>NATS.SUB("stress.metrics.17")</f>
        <v/>
      </c>
    </row>
    <row r="72">
      <c r="A72" t="inlineStr">
        <is>
          <t>metrics</t>
        </is>
      </c>
      <c r="B72" t="inlineStr">
        <is>
          <t>stress.metrics.18</t>
        </is>
      </c>
      <c r="C72">
        <f>NATS.SUB("stress.metrics.18")</f>
        <v/>
      </c>
    </row>
    <row r="73">
      <c r="A73" t="inlineStr">
        <is>
          <t>metrics</t>
        </is>
      </c>
      <c r="B73" t="inlineStr">
        <is>
          <t>stress.metrics.19</t>
        </is>
      </c>
      <c r="C73">
        <f>NATS.SUB("stress.metrics.19")</f>
        <v/>
      </c>
    </row>
    <row r="74">
      <c r="A74" t="inlineStr">
        <is>
          <t>metrics</t>
        </is>
      </c>
      <c r="B74" t="inlineStr">
        <is>
          <t>stress.metrics.2</t>
        </is>
      </c>
      <c r="C74">
        <f>NATS.SUB("stress.metrics.2")</f>
        <v/>
      </c>
    </row>
    <row r="75">
      <c r="A75" t="inlineStr">
        <is>
          <t>metrics</t>
        </is>
      </c>
      <c r="B75" t="inlineStr">
        <is>
          <t>stress.metrics.3</t>
        </is>
      </c>
      <c r="C75">
        <f>NATS.SUB("stress.metrics.3")</f>
        <v/>
      </c>
    </row>
    <row r="76">
      <c r="A76" t="inlineStr">
        <is>
          <t>metrics</t>
        </is>
      </c>
      <c r="B76" t="inlineStr">
        <is>
          <t>stress.metrics.4</t>
        </is>
      </c>
      <c r="C76">
        <f>NATS.SUB("stress.metrics.4")</f>
        <v/>
      </c>
    </row>
    <row r="77">
      <c r="A77" t="inlineStr">
        <is>
          <t>metrics</t>
        </is>
      </c>
      <c r="B77" t="inlineStr">
        <is>
          <t>stress.metrics.5</t>
        </is>
      </c>
      <c r="C77">
        <f>NATS.SUB("stress.metrics.5")</f>
        <v/>
      </c>
    </row>
    <row r="78">
      <c r="A78" t="inlineStr">
        <is>
          <t>metrics</t>
        </is>
      </c>
      <c r="B78" t="inlineStr">
        <is>
          <t>stress.metrics.6</t>
        </is>
      </c>
      <c r="C78">
        <f>NATS.SUB("stress.metrics.6")</f>
        <v/>
      </c>
    </row>
    <row r="79">
      <c r="A79" t="inlineStr">
        <is>
          <t>metrics</t>
        </is>
      </c>
      <c r="B79" t="inlineStr">
        <is>
          <t>stress.metrics.7</t>
        </is>
      </c>
      <c r="C79">
        <f>NATS.SUB("stress.metrics.7")</f>
        <v/>
      </c>
    </row>
    <row r="80">
      <c r="A80" t="inlineStr">
        <is>
          <t>metrics</t>
        </is>
      </c>
      <c r="B80" t="inlineStr">
        <is>
          <t>stress.metrics.8</t>
        </is>
      </c>
      <c r="C80">
        <f>NATS.SUB("stress.metrics.8")</f>
        <v/>
      </c>
    </row>
    <row r="81">
      <c r="A81" t="inlineStr">
        <is>
          <t>metrics</t>
        </is>
      </c>
      <c r="B81" t="inlineStr">
        <is>
          <t>stress.metrics.9</t>
        </is>
      </c>
      <c r="C81">
        <f>NATS.SUB("stress.metrics.9")</f>
        <v/>
      </c>
    </row>
    <row r="82">
      <c r="A82" t="inlineStr">
        <is>
          <t>orders</t>
        </is>
      </c>
      <c r="B82" t="inlineStr">
        <is>
          <t>stress.orders.0</t>
        </is>
      </c>
      <c r="C82">
        <f>NATS.SUB("stress.orders.0")</f>
        <v/>
      </c>
    </row>
    <row r="83">
      <c r="A83" t="inlineStr">
        <is>
          <t>orders</t>
        </is>
      </c>
      <c r="B83" t="inlineStr">
        <is>
          <t>stress.orders.1</t>
        </is>
      </c>
      <c r="C83">
        <f>NATS.SUB("stress.orders.1")</f>
        <v/>
      </c>
    </row>
    <row r="84">
      <c r="A84" t="inlineStr">
        <is>
          <t>orders</t>
        </is>
      </c>
      <c r="B84" t="inlineStr">
        <is>
          <t>stress.orders.10</t>
        </is>
      </c>
      <c r="C84">
        <f>NATS.SUB("stress.orders.10")</f>
        <v/>
      </c>
    </row>
    <row r="85">
      <c r="A85" t="inlineStr">
        <is>
          <t>orders</t>
        </is>
      </c>
      <c r="B85" t="inlineStr">
        <is>
          <t>stress.orders.11</t>
        </is>
      </c>
      <c r="C85">
        <f>NATS.SUB("stress.orders.11")</f>
        <v/>
      </c>
    </row>
    <row r="86">
      <c r="A86" t="inlineStr">
        <is>
          <t>orders</t>
        </is>
      </c>
      <c r="B86" t="inlineStr">
        <is>
          <t>stress.orders.12</t>
        </is>
      </c>
      <c r="C86">
        <f>NATS.SUB("stress.orders.12")</f>
        <v/>
      </c>
    </row>
    <row r="87">
      <c r="A87" t="inlineStr">
        <is>
          <t>orders</t>
        </is>
      </c>
      <c r="B87" t="inlineStr">
        <is>
          <t>stress.orders.13</t>
        </is>
      </c>
      <c r="C87">
        <f>NATS.SUB("stress.orders.13")</f>
        <v/>
      </c>
    </row>
    <row r="88">
      <c r="A88" t="inlineStr">
        <is>
          <t>orders</t>
        </is>
      </c>
      <c r="B88" t="inlineStr">
        <is>
          <t>stress.orders.14</t>
        </is>
      </c>
      <c r="C88">
        <f>NATS.SUB("stress.orders.14")</f>
        <v/>
      </c>
    </row>
    <row r="89">
      <c r="A89" t="inlineStr">
        <is>
          <t>orders</t>
        </is>
      </c>
      <c r="B89" t="inlineStr">
        <is>
          <t>stress.orders.15</t>
        </is>
      </c>
      <c r="C89">
        <f>NATS.SUB("stress.orders.15")</f>
        <v/>
      </c>
    </row>
    <row r="90">
      <c r="A90" t="inlineStr">
        <is>
          <t>orders</t>
        </is>
      </c>
      <c r="B90" t="inlineStr">
        <is>
          <t>stress.orders.16</t>
        </is>
      </c>
      <c r="C90">
        <f>NATS.SUB("stress.orders.16")</f>
        <v/>
      </c>
    </row>
    <row r="91">
      <c r="A91" t="inlineStr">
        <is>
          <t>orders</t>
        </is>
      </c>
      <c r="B91" t="inlineStr">
        <is>
          <t>stress.orders.17</t>
        </is>
      </c>
      <c r="C91">
        <f>NATS.SUB("stress.orders.17")</f>
        <v/>
      </c>
    </row>
    <row r="92">
      <c r="A92" t="inlineStr">
        <is>
          <t>orders</t>
        </is>
      </c>
      <c r="B92" t="inlineStr">
        <is>
          <t>stress.orders.18</t>
        </is>
      </c>
      <c r="C92">
        <f>NATS.SUB("stress.orders.18")</f>
        <v/>
      </c>
    </row>
    <row r="93">
      <c r="A93" t="inlineStr">
        <is>
          <t>orders</t>
        </is>
      </c>
      <c r="B93" t="inlineStr">
        <is>
          <t>stress.orders.19</t>
        </is>
      </c>
      <c r="C93">
        <f>NATS.SUB("stress.orders.19")</f>
        <v/>
      </c>
    </row>
    <row r="94">
      <c r="A94" t="inlineStr">
        <is>
          <t>orders</t>
        </is>
      </c>
      <c r="B94" t="inlineStr">
        <is>
          <t>stress.orders.2</t>
        </is>
      </c>
      <c r="C94">
        <f>NATS.SUB("stress.orders.2")</f>
        <v/>
      </c>
    </row>
    <row r="95">
      <c r="A95" t="inlineStr">
        <is>
          <t>orders</t>
        </is>
      </c>
      <c r="B95" t="inlineStr">
        <is>
          <t>stress.orders.3</t>
        </is>
      </c>
      <c r="C95">
        <f>NATS.SUB("stress.orders.3")</f>
        <v/>
      </c>
    </row>
    <row r="96">
      <c r="A96" t="inlineStr">
        <is>
          <t>orders</t>
        </is>
      </c>
      <c r="B96" t="inlineStr">
        <is>
          <t>stress.orders.4</t>
        </is>
      </c>
      <c r="C96">
        <f>NATS.SUB("stress.orders.4")</f>
        <v/>
      </c>
    </row>
    <row r="97">
      <c r="A97" t="inlineStr">
        <is>
          <t>orders</t>
        </is>
      </c>
      <c r="B97" t="inlineStr">
        <is>
          <t>stress.orders.5</t>
        </is>
      </c>
      <c r="C97">
        <f>NATS.SUB("stress.orders.5")</f>
        <v/>
      </c>
    </row>
    <row r="98">
      <c r="A98" t="inlineStr">
        <is>
          <t>orders</t>
        </is>
      </c>
      <c r="B98" t="inlineStr">
        <is>
          <t>stress.orders.6</t>
        </is>
      </c>
      <c r="C98">
        <f>NATS.SUB("stress.orders.6")</f>
        <v/>
      </c>
    </row>
    <row r="99">
      <c r="A99" t="inlineStr">
        <is>
          <t>orders</t>
        </is>
      </c>
      <c r="B99" t="inlineStr">
        <is>
          <t>stress.orders.7</t>
        </is>
      </c>
      <c r="C99">
        <f>NATS.SUB("stress.orders.7")</f>
        <v/>
      </c>
    </row>
    <row r="100">
      <c r="A100" t="inlineStr">
        <is>
          <t>orders</t>
        </is>
      </c>
      <c r="B100" t="inlineStr">
        <is>
          <t>stress.orders.8</t>
        </is>
      </c>
      <c r="C100">
        <f>NATS.SUB("stress.orders.8")</f>
        <v/>
      </c>
    </row>
    <row r="101">
      <c r="A101" t="inlineStr">
        <is>
          <t>orders</t>
        </is>
      </c>
      <c r="B101" t="inlineStr">
        <is>
          <t>stress.orders.9</t>
        </is>
      </c>
      <c r="C101">
        <f>NATS.SUB("stress.orders.9")</f>
        <v/>
      </c>
    </row>
    <row r="102">
      <c r="A102" t="inlineStr">
        <is>
          <t>prices</t>
        </is>
      </c>
      <c r="B102" t="inlineStr">
        <is>
          <t>stress.prices.0</t>
        </is>
      </c>
      <c r="C102">
        <f>NATS.SUB("stress.prices.0")</f>
        <v/>
      </c>
    </row>
    <row r="103">
      <c r="A103" t="inlineStr">
        <is>
          <t>prices</t>
        </is>
      </c>
      <c r="B103" t="inlineStr">
        <is>
          <t>stress.prices.1</t>
        </is>
      </c>
      <c r="C103">
        <f>NATS.SUB("stress.prices.1")</f>
        <v/>
      </c>
    </row>
    <row r="104">
      <c r="A104" t="inlineStr">
        <is>
          <t>prices</t>
        </is>
      </c>
      <c r="B104" t="inlineStr">
        <is>
          <t>stress.prices.10</t>
        </is>
      </c>
      <c r="C104">
        <f>NATS.SUB("stress.prices.10")</f>
        <v/>
      </c>
    </row>
    <row r="105">
      <c r="A105" t="inlineStr">
        <is>
          <t>prices</t>
        </is>
      </c>
      <c r="B105" t="inlineStr">
        <is>
          <t>stress.prices.11</t>
        </is>
      </c>
      <c r="C105">
        <f>NATS.SUB("stress.prices.11")</f>
        <v/>
      </c>
    </row>
    <row r="106">
      <c r="A106" t="inlineStr">
        <is>
          <t>prices</t>
        </is>
      </c>
      <c r="B106" t="inlineStr">
        <is>
          <t>stress.prices.12</t>
        </is>
      </c>
      <c r="C106">
        <f>NATS.SUB("stress.prices.12")</f>
        <v/>
      </c>
    </row>
    <row r="107">
      <c r="A107" t="inlineStr">
        <is>
          <t>prices</t>
        </is>
      </c>
      <c r="B107" t="inlineStr">
        <is>
          <t>stress.prices.13</t>
        </is>
      </c>
      <c r="C107">
        <f>NATS.SUB("stress.prices.13")</f>
        <v/>
      </c>
    </row>
    <row r="108">
      <c r="A108" t="inlineStr">
        <is>
          <t>prices</t>
        </is>
      </c>
      <c r="B108" t="inlineStr">
        <is>
          <t>stress.prices.14</t>
        </is>
      </c>
      <c r="C108">
        <f>NATS.SUB("stress.prices.14")</f>
        <v/>
      </c>
    </row>
    <row r="109">
      <c r="A109" t="inlineStr">
        <is>
          <t>prices</t>
        </is>
      </c>
      <c r="B109" t="inlineStr">
        <is>
          <t>stress.prices.15</t>
        </is>
      </c>
      <c r="C109">
        <f>NATS.SUB("stress.prices.15")</f>
        <v/>
      </c>
    </row>
    <row r="110">
      <c r="A110" t="inlineStr">
        <is>
          <t>prices</t>
        </is>
      </c>
      <c r="B110" t="inlineStr">
        <is>
          <t>stress.prices.16</t>
        </is>
      </c>
      <c r="C110">
        <f>NATS.SUB("stress.prices.16")</f>
        <v/>
      </c>
    </row>
    <row r="111">
      <c r="A111" t="inlineStr">
        <is>
          <t>prices</t>
        </is>
      </c>
      <c r="B111" t="inlineStr">
        <is>
          <t>stress.prices.17</t>
        </is>
      </c>
      <c r="C111">
        <f>NATS.SUB("stress.prices.17")</f>
        <v/>
      </c>
    </row>
    <row r="112">
      <c r="A112" t="inlineStr">
        <is>
          <t>prices</t>
        </is>
      </c>
      <c r="B112" t="inlineStr">
        <is>
          <t>stress.prices.18</t>
        </is>
      </c>
      <c r="C112">
        <f>NATS.SUB("stress.prices.18")</f>
        <v/>
      </c>
    </row>
    <row r="113">
      <c r="A113" t="inlineStr">
        <is>
          <t>prices</t>
        </is>
      </c>
      <c r="B113" t="inlineStr">
        <is>
          <t>stress.prices.19</t>
        </is>
      </c>
      <c r="C113">
        <f>NATS.SUB("stress.prices.19")</f>
        <v/>
      </c>
    </row>
    <row r="114">
      <c r="A114" t="inlineStr">
        <is>
          <t>prices</t>
        </is>
      </c>
      <c r="B114" t="inlineStr">
        <is>
          <t>stress.prices.2</t>
        </is>
      </c>
      <c r="C114">
        <f>NATS.SUB("stress.prices.2")</f>
        <v/>
      </c>
    </row>
    <row r="115">
      <c r="A115" t="inlineStr">
        <is>
          <t>prices</t>
        </is>
      </c>
      <c r="B115" t="inlineStr">
        <is>
          <t>stress.prices.3</t>
        </is>
      </c>
      <c r="C115">
        <f>NATS.SUB("stress.prices.3")</f>
        <v/>
      </c>
    </row>
    <row r="116">
      <c r="A116" t="inlineStr">
        <is>
          <t>prices</t>
        </is>
      </c>
      <c r="B116" t="inlineStr">
        <is>
          <t>stress.prices.4</t>
        </is>
      </c>
      <c r="C116">
        <f>NATS.SUB("stress.prices.4")</f>
        <v/>
      </c>
    </row>
    <row r="117">
      <c r="A117" t="inlineStr">
        <is>
          <t>prices</t>
        </is>
      </c>
      <c r="B117" t="inlineStr">
        <is>
          <t>stress.prices.5</t>
        </is>
      </c>
      <c r="C117">
        <f>NATS.SUB("stress.prices.5")</f>
        <v/>
      </c>
    </row>
    <row r="118">
      <c r="A118" t="inlineStr">
        <is>
          <t>prices</t>
        </is>
      </c>
      <c r="B118" t="inlineStr">
        <is>
          <t>stress.prices.6</t>
        </is>
      </c>
      <c r="C118">
        <f>NATS.SUB("stress.prices.6")</f>
        <v/>
      </c>
    </row>
    <row r="119">
      <c r="A119" t="inlineStr">
        <is>
          <t>prices</t>
        </is>
      </c>
      <c r="B119" t="inlineStr">
        <is>
          <t>stress.prices.7</t>
        </is>
      </c>
      <c r="C119">
        <f>NATS.SUB("stress.prices.7")</f>
        <v/>
      </c>
    </row>
    <row r="120">
      <c r="A120" t="inlineStr">
        <is>
          <t>prices</t>
        </is>
      </c>
      <c r="B120" t="inlineStr">
        <is>
          <t>stress.prices.8</t>
        </is>
      </c>
      <c r="C120">
        <f>NATS.SUB("stress.prices.8")</f>
        <v/>
      </c>
    </row>
    <row r="121">
      <c r="A121" t="inlineStr">
        <is>
          <t>prices</t>
        </is>
      </c>
      <c r="B121" t="inlineStr">
        <is>
          <t>stress.prices.9</t>
        </is>
      </c>
      <c r="C121">
        <f>NATS.SUB("stress.prices.9")</f>
        <v/>
      </c>
    </row>
    <row r="122">
      <c r="A122" t="inlineStr">
        <is>
          <t>sensors</t>
        </is>
      </c>
      <c r="B122" t="inlineStr">
        <is>
          <t>stress.sensors.0</t>
        </is>
      </c>
      <c r="C122">
        <f>NATS.SUB("stress.sensors.0")</f>
        <v/>
      </c>
    </row>
    <row r="123">
      <c r="A123" t="inlineStr">
        <is>
          <t>sensors</t>
        </is>
      </c>
      <c r="B123" t="inlineStr">
        <is>
          <t>stress.sensors.1</t>
        </is>
      </c>
      <c r="C123">
        <f>NATS.SUB("stress.sensors.1")</f>
        <v/>
      </c>
    </row>
    <row r="124">
      <c r="A124" t="inlineStr">
        <is>
          <t>sensors</t>
        </is>
      </c>
      <c r="B124" t="inlineStr">
        <is>
          <t>stress.sensors.10</t>
        </is>
      </c>
      <c r="C124">
        <f>NATS.SUB("stress.sensors.10")</f>
        <v/>
      </c>
    </row>
    <row r="125">
      <c r="A125" t="inlineStr">
        <is>
          <t>sensors</t>
        </is>
      </c>
      <c r="B125" t="inlineStr">
        <is>
          <t>stress.sensors.11</t>
        </is>
      </c>
      <c r="C125">
        <f>NATS.SUB("stress.sensors.11")</f>
        <v/>
      </c>
    </row>
    <row r="126">
      <c r="A126" t="inlineStr">
        <is>
          <t>sensors</t>
        </is>
      </c>
      <c r="B126" t="inlineStr">
        <is>
          <t>stress.sensors.12</t>
        </is>
      </c>
      <c r="C126">
        <f>NATS.SUB("stress.sensors.12")</f>
        <v/>
      </c>
    </row>
    <row r="127">
      <c r="A127" t="inlineStr">
        <is>
          <t>sensors</t>
        </is>
      </c>
      <c r="B127" t="inlineStr">
        <is>
          <t>stress.sensors.13</t>
        </is>
      </c>
      <c r="C127">
        <f>NATS.SUB("stress.sensors.13")</f>
        <v/>
      </c>
    </row>
    <row r="128">
      <c r="A128" t="inlineStr">
        <is>
          <t>sensors</t>
        </is>
      </c>
      <c r="B128" t="inlineStr">
        <is>
          <t>stress.sensors.14</t>
        </is>
      </c>
      <c r="C128">
        <f>NATS.SUB("stress.sensors.14")</f>
        <v/>
      </c>
    </row>
    <row r="129">
      <c r="A129" t="inlineStr">
        <is>
          <t>sensors</t>
        </is>
      </c>
      <c r="B129" t="inlineStr">
        <is>
          <t>stress.sensors.15</t>
        </is>
      </c>
      <c r="C129">
        <f>NATS.SUB("stress.sensors.15")</f>
        <v/>
      </c>
    </row>
    <row r="130">
      <c r="A130" t="inlineStr">
        <is>
          <t>sensors</t>
        </is>
      </c>
      <c r="B130" t="inlineStr">
        <is>
          <t>stress.sensors.16</t>
        </is>
      </c>
      <c r="C130">
        <f>NATS.SUB("stress.sensors.16")</f>
        <v/>
      </c>
    </row>
    <row r="131">
      <c r="A131" t="inlineStr">
        <is>
          <t>sensors</t>
        </is>
      </c>
      <c r="B131" t="inlineStr">
        <is>
          <t>stress.sensors.17</t>
        </is>
      </c>
      <c r="C131">
        <f>NATS.SUB("stress.sensors.17")</f>
        <v/>
      </c>
    </row>
    <row r="132">
      <c r="A132" t="inlineStr">
        <is>
          <t>sensors</t>
        </is>
      </c>
      <c r="B132" t="inlineStr">
        <is>
          <t>stress.sensors.18</t>
        </is>
      </c>
      <c r="C132">
        <f>NATS.SUB("stress.sensors.18")</f>
        <v/>
      </c>
    </row>
    <row r="133">
      <c r="A133" t="inlineStr">
        <is>
          <t>sensors</t>
        </is>
      </c>
      <c r="B133" t="inlineStr">
        <is>
          <t>stress.sensors.19</t>
        </is>
      </c>
      <c r="C133">
        <f>NATS.SUB("stress.sensors.19")</f>
        <v/>
      </c>
    </row>
    <row r="134">
      <c r="A134" t="inlineStr">
        <is>
          <t>sensors</t>
        </is>
      </c>
      <c r="B134" t="inlineStr">
        <is>
          <t>stress.sensors.2</t>
        </is>
      </c>
      <c r="C134">
        <f>NATS.SUB("stress.sensors.2")</f>
        <v/>
      </c>
    </row>
    <row r="135">
      <c r="A135" t="inlineStr">
        <is>
          <t>sensors</t>
        </is>
      </c>
      <c r="B135" t="inlineStr">
        <is>
          <t>stress.sensors.3</t>
        </is>
      </c>
      <c r="C135">
        <f>NATS.SUB("stress.sensors.3")</f>
        <v/>
      </c>
    </row>
    <row r="136">
      <c r="A136" t="inlineStr">
        <is>
          <t>sensors</t>
        </is>
      </c>
      <c r="B136" t="inlineStr">
        <is>
          <t>stress.sensors.4</t>
        </is>
      </c>
      <c r="C136">
        <f>NATS.SUB("stress.sensors.4")</f>
        <v/>
      </c>
    </row>
    <row r="137">
      <c r="A137" t="inlineStr">
        <is>
          <t>sensors</t>
        </is>
      </c>
      <c r="B137" t="inlineStr">
        <is>
          <t>stress.sensors.5</t>
        </is>
      </c>
      <c r="C137">
        <f>NATS.SUB("stress.sensors.5")</f>
        <v/>
      </c>
    </row>
    <row r="138">
      <c r="A138" t="inlineStr">
        <is>
          <t>sensors</t>
        </is>
      </c>
      <c r="B138" t="inlineStr">
        <is>
          <t>stress.sensors.6</t>
        </is>
      </c>
      <c r="C138">
        <f>NATS.SUB("stress.sensors.6")</f>
        <v/>
      </c>
    </row>
    <row r="139">
      <c r="A139" t="inlineStr">
        <is>
          <t>sensors</t>
        </is>
      </c>
      <c r="B139" t="inlineStr">
        <is>
          <t>stress.sensors.7</t>
        </is>
      </c>
      <c r="C139">
        <f>NATS.SUB("stress.sensors.7")</f>
        <v/>
      </c>
    </row>
    <row r="140">
      <c r="A140" t="inlineStr">
        <is>
          <t>sensors</t>
        </is>
      </c>
      <c r="B140" t="inlineStr">
        <is>
          <t>stress.sensors.8</t>
        </is>
      </c>
      <c r="C140">
        <f>NATS.SUB("stress.sensors.8")</f>
        <v/>
      </c>
    </row>
    <row r="141">
      <c r="A141" t="inlineStr">
        <is>
          <t>sensors</t>
        </is>
      </c>
      <c r="B141" t="inlineStr">
        <is>
          <t>stress.sensors.9</t>
        </is>
      </c>
      <c r="C141">
        <f>NATS.SUB("stress.sensors.9")</f>
        <v/>
      </c>
    </row>
    <row r="142">
      <c r="A142" t="inlineStr">
        <is>
          <t>status</t>
        </is>
      </c>
      <c r="B142" t="inlineStr">
        <is>
          <t>stress.status.0</t>
        </is>
      </c>
      <c r="C142">
        <f>NATS.SUB("stress.status.0")</f>
        <v/>
      </c>
    </row>
    <row r="143">
      <c r="A143" t="inlineStr">
        <is>
          <t>status</t>
        </is>
      </c>
      <c r="B143" t="inlineStr">
        <is>
          <t>stress.status.1</t>
        </is>
      </c>
      <c r="C143">
        <f>NATS.SUB("stress.status.1")</f>
        <v/>
      </c>
    </row>
    <row r="144">
      <c r="A144" t="inlineStr">
        <is>
          <t>status</t>
        </is>
      </c>
      <c r="B144" t="inlineStr">
        <is>
          <t>stress.status.10</t>
        </is>
      </c>
      <c r="C144">
        <f>NATS.SUB("stress.status.10")</f>
        <v/>
      </c>
    </row>
    <row r="145">
      <c r="A145" t="inlineStr">
        <is>
          <t>status</t>
        </is>
      </c>
      <c r="B145" t="inlineStr">
        <is>
          <t>stress.status.11</t>
        </is>
      </c>
      <c r="C145">
        <f>NATS.SUB("stress.status.11")</f>
        <v/>
      </c>
    </row>
    <row r="146">
      <c r="A146" t="inlineStr">
        <is>
          <t>status</t>
        </is>
      </c>
      <c r="B146" t="inlineStr">
        <is>
          <t>stress.status.12</t>
        </is>
      </c>
      <c r="C146">
        <f>NATS.SUB("stress.status.12")</f>
        <v/>
      </c>
    </row>
    <row r="147">
      <c r="A147" t="inlineStr">
        <is>
          <t>status</t>
        </is>
      </c>
      <c r="B147" t="inlineStr">
        <is>
          <t>stress.status.13</t>
        </is>
      </c>
      <c r="C147">
        <f>NATS.SUB("stress.status.13")</f>
        <v/>
      </c>
    </row>
    <row r="148">
      <c r="A148" t="inlineStr">
        <is>
          <t>status</t>
        </is>
      </c>
      <c r="B148" t="inlineStr">
        <is>
          <t>stress.status.14</t>
        </is>
      </c>
      <c r="C148">
        <f>NATS.SUB("stress.status.14")</f>
        <v/>
      </c>
    </row>
    <row r="149">
      <c r="A149" t="inlineStr">
        <is>
          <t>status</t>
        </is>
      </c>
      <c r="B149" t="inlineStr">
        <is>
          <t>stress.status.15</t>
        </is>
      </c>
      <c r="C149">
        <f>NATS.SUB("stress.status.15")</f>
        <v/>
      </c>
    </row>
    <row r="150">
      <c r="A150" t="inlineStr">
        <is>
          <t>status</t>
        </is>
      </c>
      <c r="B150" t="inlineStr">
        <is>
          <t>stress.status.16</t>
        </is>
      </c>
      <c r="C150">
        <f>NATS.SUB("stress.status.16")</f>
        <v/>
      </c>
    </row>
    <row r="151">
      <c r="A151" t="inlineStr">
        <is>
          <t>status</t>
        </is>
      </c>
      <c r="B151" t="inlineStr">
        <is>
          <t>stress.status.17</t>
        </is>
      </c>
      <c r="C151">
        <f>NATS.SUB("stress.status.17")</f>
        <v/>
      </c>
    </row>
    <row r="152">
      <c r="A152" t="inlineStr">
        <is>
          <t>status</t>
        </is>
      </c>
      <c r="B152" t="inlineStr">
        <is>
          <t>stress.status.18</t>
        </is>
      </c>
      <c r="C152">
        <f>NATS.SUB("stress.status.18")</f>
        <v/>
      </c>
    </row>
    <row r="153">
      <c r="A153" t="inlineStr">
        <is>
          <t>status</t>
        </is>
      </c>
      <c r="B153" t="inlineStr">
        <is>
          <t>stress.status.19</t>
        </is>
      </c>
      <c r="C153">
        <f>NATS.SUB("stress.status.19")</f>
        <v/>
      </c>
    </row>
    <row r="154">
      <c r="A154" t="inlineStr">
        <is>
          <t>status</t>
        </is>
      </c>
      <c r="B154" t="inlineStr">
        <is>
          <t>stress.status.2</t>
        </is>
      </c>
      <c r="C154">
        <f>NATS.SUB("stress.status.2")</f>
        <v/>
      </c>
    </row>
    <row r="155">
      <c r="A155" t="inlineStr">
        <is>
          <t>status</t>
        </is>
      </c>
      <c r="B155" t="inlineStr">
        <is>
          <t>stress.status.3</t>
        </is>
      </c>
      <c r="C155">
        <f>NATS.SUB("stress.status.3")</f>
        <v/>
      </c>
    </row>
    <row r="156">
      <c r="A156" t="inlineStr">
        <is>
          <t>status</t>
        </is>
      </c>
      <c r="B156" t="inlineStr">
        <is>
          <t>stress.status.4</t>
        </is>
      </c>
      <c r="C156">
        <f>NATS.SUB("stress.status.4")</f>
        <v/>
      </c>
    </row>
    <row r="157">
      <c r="A157" t="inlineStr">
        <is>
          <t>status</t>
        </is>
      </c>
      <c r="B157" t="inlineStr">
        <is>
          <t>stress.status.5</t>
        </is>
      </c>
      <c r="C157">
        <f>NATS.SUB("stress.status.5")</f>
        <v/>
      </c>
    </row>
    <row r="158">
      <c r="A158" t="inlineStr">
        <is>
          <t>status</t>
        </is>
      </c>
      <c r="B158" t="inlineStr">
        <is>
          <t>stress.status.6</t>
        </is>
      </c>
      <c r="C158">
        <f>NATS.SUB("stress.status.6")</f>
        <v/>
      </c>
    </row>
    <row r="159">
      <c r="A159" t="inlineStr">
        <is>
          <t>status</t>
        </is>
      </c>
      <c r="B159" t="inlineStr">
        <is>
          <t>stress.status.7</t>
        </is>
      </c>
      <c r="C159">
        <f>NATS.SUB("stress.status.7")</f>
        <v/>
      </c>
    </row>
    <row r="160">
      <c r="A160" t="inlineStr">
        <is>
          <t>status</t>
        </is>
      </c>
      <c r="B160" t="inlineStr">
        <is>
          <t>stress.status.8</t>
        </is>
      </c>
      <c r="C160">
        <f>NATS.SUB("stress.status.8")</f>
        <v/>
      </c>
    </row>
    <row r="161">
      <c r="A161" t="inlineStr">
        <is>
          <t>status</t>
        </is>
      </c>
      <c r="B161" t="inlineStr">
        <is>
          <t>stress.status.9</t>
        </is>
      </c>
      <c r="C161">
        <f>NATS.SUB("stress.status.9")</f>
        <v/>
      </c>
    </row>
    <row r="162">
      <c r="A162" t="inlineStr">
        <is>
          <t>telemetry</t>
        </is>
      </c>
      <c r="B162" t="inlineStr">
        <is>
          <t>stress.telemetry.0</t>
        </is>
      </c>
      <c r="C162">
        <f>NATS.SUB("stress.telemetry.0")</f>
        <v/>
      </c>
    </row>
    <row r="163">
      <c r="A163" t="inlineStr">
        <is>
          <t>telemetry</t>
        </is>
      </c>
      <c r="B163" t="inlineStr">
        <is>
          <t>stress.telemetry.1</t>
        </is>
      </c>
      <c r="C163">
        <f>NATS.SUB("stress.telemetry.1")</f>
        <v/>
      </c>
    </row>
    <row r="164">
      <c r="A164" t="inlineStr">
        <is>
          <t>telemetry</t>
        </is>
      </c>
      <c r="B164" t="inlineStr">
        <is>
          <t>stress.telemetry.10</t>
        </is>
      </c>
      <c r="C164">
        <f>NATS.SUB("stress.telemetry.10")</f>
        <v/>
      </c>
    </row>
    <row r="165">
      <c r="A165" t="inlineStr">
        <is>
          <t>telemetry</t>
        </is>
      </c>
      <c r="B165" t="inlineStr">
        <is>
          <t>stress.telemetry.11</t>
        </is>
      </c>
      <c r="C165">
        <f>NATS.SUB("stress.telemetry.11")</f>
        <v/>
      </c>
    </row>
    <row r="166">
      <c r="A166" t="inlineStr">
        <is>
          <t>telemetry</t>
        </is>
      </c>
      <c r="B166" t="inlineStr">
        <is>
          <t>stress.telemetry.12</t>
        </is>
      </c>
      <c r="C166">
        <f>NATS.SUB("stress.telemetry.12")</f>
        <v/>
      </c>
    </row>
    <row r="167">
      <c r="A167" t="inlineStr">
        <is>
          <t>telemetry</t>
        </is>
      </c>
      <c r="B167" t="inlineStr">
        <is>
          <t>stress.telemetry.13</t>
        </is>
      </c>
      <c r="C167">
        <f>NATS.SUB("stress.telemetry.13")</f>
        <v/>
      </c>
    </row>
    <row r="168">
      <c r="A168" t="inlineStr">
        <is>
          <t>telemetry</t>
        </is>
      </c>
      <c r="B168" t="inlineStr">
        <is>
          <t>stress.telemetry.14</t>
        </is>
      </c>
      <c r="C168">
        <f>NATS.SUB("stress.telemetry.14")</f>
        <v/>
      </c>
    </row>
    <row r="169">
      <c r="A169" t="inlineStr">
        <is>
          <t>telemetry</t>
        </is>
      </c>
      <c r="B169" t="inlineStr">
        <is>
          <t>stress.telemetry.15</t>
        </is>
      </c>
      <c r="C169">
        <f>NATS.SUB("stress.telemetry.15")</f>
        <v/>
      </c>
    </row>
    <row r="170">
      <c r="A170" t="inlineStr">
        <is>
          <t>telemetry</t>
        </is>
      </c>
      <c r="B170" t="inlineStr">
        <is>
          <t>stress.telemetry.16</t>
        </is>
      </c>
      <c r="C170">
        <f>NATS.SUB("stress.telemetry.16")</f>
        <v/>
      </c>
    </row>
    <row r="171">
      <c r="A171" t="inlineStr">
        <is>
          <t>telemetry</t>
        </is>
      </c>
      <c r="B171" t="inlineStr">
        <is>
          <t>stress.telemetry.17</t>
        </is>
      </c>
      <c r="C171">
        <f>NATS.SUB("stress.telemetry.17")</f>
        <v/>
      </c>
    </row>
    <row r="172">
      <c r="A172" t="inlineStr">
        <is>
          <t>telemetry</t>
        </is>
      </c>
      <c r="B172" t="inlineStr">
        <is>
          <t>stress.telemetry.18</t>
        </is>
      </c>
      <c r="C172">
        <f>NATS.SUB("stress.telemetry.18")</f>
        <v/>
      </c>
    </row>
    <row r="173">
      <c r="A173" t="inlineStr">
        <is>
          <t>telemetry</t>
        </is>
      </c>
      <c r="B173" t="inlineStr">
        <is>
          <t>stress.telemetry.19</t>
        </is>
      </c>
      <c r="C173">
        <f>NATS.SUB("stress.telemetry.19")</f>
        <v/>
      </c>
    </row>
    <row r="174">
      <c r="A174" t="inlineStr">
        <is>
          <t>telemetry</t>
        </is>
      </c>
      <c r="B174" t="inlineStr">
        <is>
          <t>stress.telemetry.2</t>
        </is>
      </c>
      <c r="C174">
        <f>NATS.SUB("stress.telemetry.2")</f>
        <v/>
      </c>
    </row>
    <row r="175">
      <c r="A175" t="inlineStr">
        <is>
          <t>telemetry</t>
        </is>
      </c>
      <c r="B175" t="inlineStr">
        <is>
          <t>stress.telemetry.3</t>
        </is>
      </c>
      <c r="C175">
        <f>NATS.SUB("stress.telemetry.3")</f>
        <v/>
      </c>
    </row>
    <row r="176">
      <c r="A176" t="inlineStr">
        <is>
          <t>telemetry</t>
        </is>
      </c>
      <c r="B176" t="inlineStr">
        <is>
          <t>stress.telemetry.4</t>
        </is>
      </c>
      <c r="C176">
        <f>NATS.SUB("stress.telemetry.4")</f>
        <v/>
      </c>
    </row>
    <row r="177">
      <c r="A177" t="inlineStr">
        <is>
          <t>telemetry</t>
        </is>
      </c>
      <c r="B177" t="inlineStr">
        <is>
          <t>stress.telemetry.5</t>
        </is>
      </c>
      <c r="C177">
        <f>NATS.SUB("stress.telemetry.5")</f>
        <v/>
      </c>
    </row>
    <row r="178">
      <c r="A178" t="inlineStr">
        <is>
          <t>telemetry</t>
        </is>
      </c>
      <c r="B178" t="inlineStr">
        <is>
          <t>stress.telemetry.6</t>
        </is>
      </c>
      <c r="C178">
        <f>NATS.SUB("stress.telemetry.6")</f>
        <v/>
      </c>
    </row>
    <row r="179">
      <c r="A179" t="inlineStr">
        <is>
          <t>telemetry</t>
        </is>
      </c>
      <c r="B179" t="inlineStr">
        <is>
          <t>stress.telemetry.7</t>
        </is>
      </c>
      <c r="C179">
        <f>NATS.SUB("stress.telemetry.7")</f>
        <v/>
      </c>
    </row>
    <row r="180">
      <c r="A180" t="inlineStr">
        <is>
          <t>telemetry</t>
        </is>
      </c>
      <c r="B180" t="inlineStr">
        <is>
          <t>stress.telemetry.8</t>
        </is>
      </c>
      <c r="C180">
        <f>NATS.SUB("stress.telemetry.8")</f>
        <v/>
      </c>
    </row>
    <row r="181">
      <c r="A181" t="inlineStr">
        <is>
          <t>telemetry</t>
        </is>
      </c>
      <c r="B181" t="inlineStr">
        <is>
          <t>stress.telemetry.9</t>
        </is>
      </c>
      <c r="C181">
        <f>NATS.SUB("stress.telemetry.9")</f>
        <v/>
      </c>
    </row>
    <row r="182">
      <c r="A182" t="inlineStr">
        <is>
          <t>ticks</t>
        </is>
      </c>
      <c r="B182" t="inlineStr">
        <is>
          <t>stress.ticks.0</t>
        </is>
      </c>
      <c r="C182">
        <f>NATS.SUB("stress.ticks.0")</f>
        <v/>
      </c>
    </row>
    <row r="183">
      <c r="A183" t="inlineStr">
        <is>
          <t>ticks</t>
        </is>
      </c>
      <c r="B183" t="inlineStr">
        <is>
          <t>stress.ticks.1</t>
        </is>
      </c>
      <c r="C183">
        <f>NATS.SUB("stress.ticks.1")</f>
        <v/>
      </c>
    </row>
    <row r="184">
      <c r="A184" t="inlineStr">
        <is>
          <t>ticks</t>
        </is>
      </c>
      <c r="B184" t="inlineStr">
        <is>
          <t>stress.ticks.10</t>
        </is>
      </c>
      <c r="C184">
        <f>NATS.SUB("stress.ticks.10")</f>
        <v/>
      </c>
    </row>
    <row r="185">
      <c r="A185" t="inlineStr">
        <is>
          <t>ticks</t>
        </is>
      </c>
      <c r="B185" t="inlineStr">
        <is>
          <t>stress.ticks.11</t>
        </is>
      </c>
      <c r="C185">
        <f>NATS.SUB("stress.ticks.11")</f>
        <v/>
      </c>
    </row>
    <row r="186">
      <c r="A186" t="inlineStr">
        <is>
          <t>ticks</t>
        </is>
      </c>
      <c r="B186" t="inlineStr">
        <is>
          <t>stress.ticks.12</t>
        </is>
      </c>
      <c r="C186">
        <f>NATS.SUB("stress.ticks.12")</f>
        <v/>
      </c>
    </row>
    <row r="187">
      <c r="A187" t="inlineStr">
        <is>
          <t>ticks</t>
        </is>
      </c>
      <c r="B187" t="inlineStr">
        <is>
          <t>stress.ticks.13</t>
        </is>
      </c>
      <c r="C187">
        <f>NATS.SUB("stress.ticks.13")</f>
        <v/>
      </c>
    </row>
    <row r="188">
      <c r="A188" t="inlineStr">
        <is>
          <t>ticks</t>
        </is>
      </c>
      <c r="B188" t="inlineStr">
        <is>
          <t>stress.ticks.14</t>
        </is>
      </c>
      <c r="C188">
        <f>NATS.SUB("stress.ticks.14")</f>
        <v/>
      </c>
    </row>
    <row r="189">
      <c r="A189" t="inlineStr">
        <is>
          <t>ticks</t>
        </is>
      </c>
      <c r="B189" t="inlineStr">
        <is>
          <t>stress.ticks.15</t>
        </is>
      </c>
      <c r="C189">
        <f>NATS.SUB("stress.ticks.15")</f>
        <v/>
      </c>
    </row>
    <row r="190">
      <c r="A190" t="inlineStr">
        <is>
          <t>ticks</t>
        </is>
      </c>
      <c r="B190" t="inlineStr">
        <is>
          <t>stress.ticks.16</t>
        </is>
      </c>
      <c r="C190">
        <f>NATS.SUB("stress.ticks.16")</f>
        <v/>
      </c>
    </row>
    <row r="191">
      <c r="A191" t="inlineStr">
        <is>
          <t>ticks</t>
        </is>
      </c>
      <c r="B191" t="inlineStr">
        <is>
          <t>stress.ticks.17</t>
        </is>
      </c>
      <c r="C191">
        <f>NATS.SUB("stress.ticks.17")</f>
        <v/>
      </c>
    </row>
    <row r="192">
      <c r="A192" t="inlineStr">
        <is>
          <t>ticks</t>
        </is>
      </c>
      <c r="B192" t="inlineStr">
        <is>
          <t>stress.ticks.18</t>
        </is>
      </c>
      <c r="C192">
        <f>NATS.SUB("stress.ticks.18")</f>
        <v/>
      </c>
    </row>
    <row r="193">
      <c r="A193" t="inlineStr">
        <is>
          <t>ticks</t>
        </is>
      </c>
      <c r="B193" t="inlineStr">
        <is>
          <t>stress.ticks.19</t>
        </is>
      </c>
      <c r="C193">
        <f>NATS.SUB("stress.ticks.19")</f>
        <v/>
      </c>
    </row>
    <row r="194">
      <c r="A194" t="inlineStr">
        <is>
          <t>ticks</t>
        </is>
      </c>
      <c r="B194" t="inlineStr">
        <is>
          <t>stress.ticks.2</t>
        </is>
      </c>
      <c r="C194">
        <f>NATS.SUB("stress.ticks.2")</f>
        <v/>
      </c>
    </row>
    <row r="195">
      <c r="A195" t="inlineStr">
        <is>
          <t>ticks</t>
        </is>
      </c>
      <c r="B195" t="inlineStr">
        <is>
          <t>stress.ticks.3</t>
        </is>
      </c>
      <c r="C195">
        <f>NATS.SUB("stress.ticks.3")</f>
        <v/>
      </c>
    </row>
    <row r="196">
      <c r="A196" t="inlineStr">
        <is>
          <t>ticks</t>
        </is>
      </c>
      <c r="B196" t="inlineStr">
        <is>
          <t>stress.ticks.4</t>
        </is>
      </c>
      <c r="C196">
        <f>NATS.SUB("stress.ticks.4")</f>
        <v/>
      </c>
    </row>
    <row r="197">
      <c r="A197" t="inlineStr">
        <is>
          <t>ticks</t>
        </is>
      </c>
      <c r="B197" t="inlineStr">
        <is>
          <t>stress.ticks.5</t>
        </is>
      </c>
      <c r="C197">
        <f>NATS.SUB("stress.ticks.5")</f>
        <v/>
      </c>
    </row>
    <row r="198">
      <c r="A198" t="inlineStr">
        <is>
          <t>ticks</t>
        </is>
      </c>
      <c r="B198" t="inlineStr">
        <is>
          <t>stress.ticks.6</t>
        </is>
      </c>
      <c r="C198">
        <f>NATS.SUB("stress.ticks.6")</f>
        <v/>
      </c>
    </row>
    <row r="199">
      <c r="A199" t="inlineStr">
        <is>
          <t>ticks</t>
        </is>
      </c>
      <c r="B199" t="inlineStr">
        <is>
          <t>stress.ticks.7</t>
        </is>
      </c>
      <c r="C199">
        <f>NATS.SUB("stress.ticks.7")</f>
        <v/>
      </c>
    </row>
    <row r="200">
      <c r="A200" t="inlineStr">
        <is>
          <t>ticks</t>
        </is>
      </c>
      <c r="B200" t="inlineStr">
        <is>
          <t>stress.ticks.8</t>
        </is>
      </c>
      <c r="C200">
        <f>NATS.SUB("stress.ticks.8")</f>
        <v/>
      </c>
    </row>
    <row r="201">
      <c r="A201" t="inlineStr">
        <is>
          <t>ticks</t>
        </is>
      </c>
      <c r="B201" t="inlineStr">
        <is>
          <t>stress.ticks.9</t>
        </is>
      </c>
      <c r="C201">
        <f>NATS.SUB("stress.ticks.9")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2026-03-11T15:33:52Z</dcterms:created>
  <dcterms:modified xsi:type="dcterms:W3CDTF">2026-03-11T15:33:52Z</dcterms:modified>
</cp:coreProperties>
</file>